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bb42d052d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02bb57bb884064"/>
    <x:sheet xmlns:r="http://schemas.openxmlformats.org/officeDocument/2006/relationships" name="Dashboard_Map" sheetId="2" r:id="R14c632a9fda041b3"/>
    <x:sheet xmlns:r="http://schemas.openxmlformats.org/officeDocument/2006/relationships" name="Financial_Overview" sheetId="3" r:id="R112015e9a0ef45f6"/>
    <x:sheet xmlns:r="http://schemas.openxmlformats.org/officeDocument/2006/relationships" name="Cash_Flow" sheetId="4" r:id="R0e52b8ef36a34dde"/>
    <x:sheet xmlns:r="http://schemas.openxmlformats.org/officeDocument/2006/relationships" name="Strategy_Operations" sheetId="5" r:id="Reb2e30ed1dd540e8"/>
    <x:sheet xmlns:r="http://schemas.openxmlformats.org/officeDocument/2006/relationships" name="Pipeline_Revenue" sheetId="6" r:id="Rb65c8d0fd7e34005"/>
    <x:sheet xmlns:r="http://schemas.openxmlformats.org/officeDocument/2006/relationships" name="Sales_Raw_Opportunities" sheetId="7" r:id="R5dcfb4c221b549b4"/>
    <x:sheet xmlns:r="http://schemas.openxmlformats.org/officeDocument/2006/relationships" name="Sales_Raw_Operations" sheetId="8" r:id="R5b76eb66dcea48b3"/>
    <x:sheet xmlns:r="http://schemas.openxmlformats.org/officeDocument/2006/relationships" name="Sales_Performance" sheetId="9" r:id="Re110351cf9934bc2"/>
    <x:sheet xmlns:r="http://schemas.openxmlformats.org/officeDocument/2006/relationships" name="Lists" sheetId="10" r:id="R42edb5165f8846a2"/>
    <x:sheet xmlns:r="http://schemas.openxmlformats.org/officeDocument/2006/relationships" name="Sales_Stage_Details" sheetId="11" r:id="Rf83b844d3d6e4727"/>
  </x:sheets>
</x:workbook>
</file>

<file path=xl/comments1.xml><?xml version="1.0" encoding="utf-8"?>
<x:comments xmlns:x="http://schemas.openxmlformats.org/spreadsheetml/2006/main">
  <x:authors>
    <x:author>tc={64fc0319-a756-4554-935f-c5a1307e35a1}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2.xml><?xml version="1.0" encoding="utf-8"?>
<x:comments xmlns:x="http://schemas.openxmlformats.org/spreadsheetml/2006/main">
  <x:authors>
    <x:author>tc={fab62977-1f65-4fb0-a2a8-7ba317e20ff7}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3.xml><?xml version="1.0" encoding="utf-8"?>
<x:comments xmlns:x="http://schemas.openxmlformats.org/spreadsheetml/2006/main">
  <x:authors>
    <x:author>tc={d7dc55cc-c3b6-4cfa-a690-9337807397b5}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4.xml><?xml version="1.0" encoding="utf-8"?>
<x:comments xmlns:x="http://schemas.openxmlformats.org/spreadsheetml/2006/main">
  <x:authors>
    <x:author>tc={bbc10585-74ca-4d36-bd88-5fb48e615bd9}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5.xml><?xml version="1.0" encoding="utf-8"?>
<x:comments xmlns:x="http://schemas.openxmlformats.org/spreadsheetml/2006/main">
  <x:authors>
    <x:author>tc={4286c356-bd7f-441b-97eb-665fc6613f16}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6.xml><?xml version="1.0" encoding="utf-8"?>
<x:comments xmlns:x="http://schemas.openxmlformats.org/spreadsheetml/2006/main">
  <x:authors>
    <x:author>tc={a1fd4d48-1747-46e2-b167-e86511c3d1c0}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7.xml><?xml version="1.0" encoding="utf-8"?>
<x:comments xmlns:x="http://schemas.openxmlformats.org/spreadsheetml/2006/main">
  <x:authors>
    <x:author>tc={ef46facc-f092-4171-99ae-fdc0bb0eaced}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8.xml><?xml version="1.0" encoding="utf-8"?>
<x:comments xmlns:x="http://schemas.openxmlformats.org/spreadsheetml/2006/main">
  <x:authors>
    <x:author>tc={f4c9d034-b94f-47bd-bc5a-ab5a15d69e55}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comments9.xml><?xml version="1.0" encoding="utf-8"?>
<x:comments xmlns:x="http://schemas.openxmlformats.org/spreadsheetml/2006/main">
  <x:authors>
    <x:author>tc={7b0d5fec-ae68-4472-ae97-916cdf2e7d16}</x:author>
  </x:authors>
  <x:commentList>
    <x:comment ref="A1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Structured from the uploaded dashboard HTML source: index (5).html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;[Red](#,##0);-"/>
    <x:numFmt numFmtId="165" formatCode="0.0%"/>
  </x:numFmts>
  <x:fonts count="15">
    <x:font>
      <x:sz val="11"/>
      <x:color theme="1"/>
      <x:name val="Calibri"/>
      <x:scheme val="minor"/>
    </x:font>
    <x:font>
      <x:b/>
      <x:sz val="14"/>
      <x:color rgb="FFFFFFFF"/>
      <x:name val="Calibri"/>
      <x:scheme val="minor"/>
    </x:font>
    <x:font/>
    <x:font>
      <x:i/>
      <x:sz val="9"/>
      <x:color rgb="FF666666"/>
      <x:name val="Calibri"/>
      <x:scheme val="minor"/>
    </x:font>
    <x:font>
      <x:b/>
      <x:sz val="10"/>
      <x:color rgb="FF000000"/>
      <x:name val="Calibri"/>
      <x:scheme val="minor"/>
    </x:font>
    <x:font>
      <x:color theme="1"/>
      <x:name val="Calibri"/>
      <x:scheme val="minor"/>
    </x:font>
    <x:font>
      <x:b/>
      <x:sz val="11"/>
      <x:color rgb="FFFFFFFF"/>
      <x:name val="Calibri"/>
      <x:scheme val="minor"/>
    </x:font>
    <x:font>
      <x:b/>
      <x:sz val="10"/>
      <x:color rgb="FFFFFFFF"/>
      <x:name val="Calibri"/>
      <x:scheme val="minor"/>
    </x:font>
    <x:font>
      <x:sz val="11"/>
      <x:color theme="1"/>
      <x:name val="Calibri"/>
    </x:font>
    <x:font>
      <x:sz val="10"/>
      <x:color rgb="FF000000"/>
      <x:name val="Calibri"/>
      <x:scheme val="minor"/>
    </x:font>
    <x:font>
      <x:sz val="10"/>
      <x:color rgb="FF0000FF"/>
      <x:name val="Calibri"/>
      <x:scheme val="minor"/>
    </x:font>
    <x:font>
      <x:sz val="10"/>
      <x:color rgb="FF008000"/>
      <x:name val="Calibri"/>
      <x:scheme val="minor"/>
    </x:font>
    <x:font>
      <x:b/>
      <x:color rgb="00FFFFFF"/>
    </x:font>
    <x:font>
      <x:b/>
    </x:font>
    <x:font>
      <x:b/>
      <x:sz val="14"/>
    </x:font>
  </x:fonts>
  <x:fills count="6">
    <x:fill>
      <x:patternFill patternType="none"/>
    </x:fill>
    <x:fill>
      <x:patternFill patternType="lightGray"/>
    </x:fill>
    <x:fill>
      <x:patternFill patternType="solid">
        <x:fgColor rgb="FF1E4D20"/>
      </x:patternFill>
    </x:fill>
    <x:fill>
      <x:patternFill patternType="solid">
        <x:fgColor rgb="FFF8F1E3"/>
      </x:patternFill>
    </x:fill>
    <x:fill>
      <x:patternFill patternType="solid">
        <x:fgColor rgb="FFB08D3E"/>
      </x:patternFill>
    </x:fill>
    <x:fill>
      <x:patternFill patternType="solid">
        <x:fgColor rgb="001E4D20"/>
      </x:patternFill>
    </x:fill>
  </x:fills>
  <x:borders count="6">
    <x:border/>
    <x:border>
      <x:left/>
      <x:top/>
      <x:bottom/>
    </x:border>
    <x:border>
      <x:top/>
      <x:bottom/>
    </x:border>
    <x:border>
      <x:right/>
      <x:top/>
      <x:bottom/>
    </x:border>
    <x:border>
      <x:bottom style="thin">
        <x:color rgb="FFD9D9D9"/>
      </x:bottom>
    </x:border>
    <x:border>
      <x:left/>
      <x:right/>
      <x:top/>
      <x:bottom/>
    </x:border>
  </x:borders>
  <x:cellStyleXfs count="1">
    <x:xf numFmtId="0" fontId="0" fillId="0" borderId="0"/>
  </x:cellStyleXfs>
  <x:cellXfs count="54">
    <x:xf numFmtId="0" fontId="0" fillId="0" borderId="0" xfId="0" applyAlignment="1">
      <x:alignment vertical="bottom"/>
    </x:xf>
    <x:xf numFmtId="0" fontId="1" fillId="2" borderId="1" xfId="0" applyAlignment="1">
      <x:alignment horizontal="left" vertical="center"/>
    </x:xf>
    <x:xf numFmtId="0" fontId="2" fillId="0" borderId="2" xfId="0"/>
    <x:xf numFmtId="0" fontId="2" fillId="0" borderId="3" xfId="0"/>
    <x:xf numFmtId="0" fontId="3" fillId="3" borderId="1" xfId="0" applyAlignment="1">
      <x:alignment horizontal="left" vertical="center"/>
    </x:xf>
    <x:xf numFmtId="0" fontId="4" fillId="0" borderId="0" xfId="0"/>
    <x:xf numFmtId="0" fontId="5" fillId="0" borderId="0" xfId="0"/>
    <x:xf numFmtId="0" fontId="6" fillId="4" borderId="1" xfId="0" applyAlignment="1">
      <x:alignment horizontal="left" vertical="center"/>
    </x:xf>
    <x:xf numFmtId="0" fontId="7" fillId="2" borderId="4" xfId="0" applyAlignment="1">
      <x:alignment horizontal="center" vertical="center"/>
    </x:xf>
    <x:xf numFmtId="0" fontId="4" fillId="0" borderId="4" xfId="0" applyAlignment="1">
      <x:alignment horizontal="left" vertical="center"/>
    </x:xf>
    <x:xf numFmtId="0" fontId="8" fillId="0" borderId="4" xfId="0" applyAlignment="1">
      <x:alignment vertical="top" wrapText="1"/>
    </x:xf>
    <x:xf numFmtId="0" fontId="9" fillId="0" borderId="4" xfId="0" applyAlignment="1">
      <x:alignment vertical="top" wrapText="1"/>
    </x:xf>
    <x:xf numFmtId="0" fontId="4" fillId="0" borderId="4" xfId="0" applyAlignment="1">
      <x:alignment vertical="top" wrapText="1"/>
    </x:xf>
    <x:xf numFmtId="0" fontId="9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8" fillId="0" borderId="0" xfId="0" applyAlignment="1">
      <x:alignment vertical="top" wrapText="1"/>
    </x:xf>
    <x:xf numFmtId="164" fontId="8" fillId="0" borderId="4" xfId="0" applyAlignment="1">
      <x:alignment horizontal="right" vertical="center"/>
    </x:xf>
    <x:xf numFmtId="0" fontId="8" fillId="0" borderId="4" xfId="0" applyAlignment="1">
      <x:alignment horizontal="right" vertical="center"/>
    </x:xf>
    <x:xf numFmtId="164" fontId="10" fillId="0" borderId="4" xfId="0" applyAlignment="1">
      <x:alignment horizontal="right" vertical="center"/>
    </x:xf>
    <x:xf numFmtId="164" fontId="9" fillId="0" borderId="4" xfId="0" applyAlignment="1">
      <x:alignment horizontal="right" vertical="center"/>
    </x:xf>
    <x:xf numFmtId="164" fontId="10" fillId="0" borderId="4" xfId="0" applyAlignment="1">
      <x:alignment horizontal="right" vertical="center"/>
    </x:xf>
    <x:xf numFmtId="165" fontId="9" fillId="0" borderId="4" xfId="0" applyAlignment="1">
      <x:alignment horizontal="right" vertical="center"/>
    </x:xf>
    <x:xf numFmtId="9" fontId="9" fillId="0" borderId="4" xfId="0" applyAlignment="1">
      <x:alignment horizontal="right" vertical="center"/>
    </x:xf>
    <x:xf numFmtId="164" fontId="11" fillId="0" borderId="4" xfId="0" applyAlignment="1">
      <x:alignment horizontal="right" vertical="center"/>
    </x:xf>
    <x:xf numFmtId="164" fontId="11" fillId="0" borderId="4" xfId="0" applyAlignment="1">
      <x:alignment horizontal="right" vertical="center"/>
    </x:xf>
    <x:xf numFmtId="0" fontId="7" fillId="2" borderId="5" xfId="0" applyAlignment="1">
      <x:alignment horizontal="center" vertical="center"/>
    </x:xf>
    <x:xf numFmtId="164" fontId="11" fillId="0" borderId="0" xfId="0"/>
    <x:xf numFmtId="165" fontId="9" fillId="0" borderId="0" xfId="0"/>
    <x:xf numFmtId="164" fontId="9" fillId="0" borderId="0" xfId="0"/>
    <x:xf numFmtId="164" fontId="10" fillId="0" borderId="0" xfId="0"/>
    <x:xf numFmtId="0" fontId="7" fillId="2" borderId="4" xfId="0" applyAlignment="1">
      <x:alignment horizontal="center" vertical="center"/>
    </x:xf>
    <x:xf numFmtId="0" fontId="4" fillId="0" borderId="4" xfId="0" applyAlignment="1">
      <x:alignment horizontal="left" vertical="center"/>
    </x:xf>
    <x:xf numFmtId="0" fontId="8" fillId="0" borderId="4" xfId="0" applyAlignment="1">
      <x:alignment vertical="top" wrapText="1"/>
    </x:xf>
    <x:xf numFmtId="0" fontId="8" fillId="0" borderId="4" xfId="0" applyAlignment="1">
      <x:alignment horizontal="right" vertical="center"/>
    </x:xf>
    <x:xf numFmtId="164" fontId="10" fillId="0" borderId="4" xfId="0" applyAlignment="1">
      <x:alignment horizontal="right" vertical="center"/>
    </x:xf>
    <x:xf numFmtId="165" fontId="10" fillId="0" borderId="4" xfId="0" applyAlignment="1">
      <x:alignment horizontal="right" vertical="center"/>
    </x:xf>
    <x:xf numFmtId="164" fontId="9" fillId="0" borderId="4" xfId="0" applyAlignment="1">
      <x:alignment horizontal="right" vertical="center"/>
    </x:xf>
    <x:xf numFmtId="0" fontId="10" fillId="0" borderId="4" xfId="0" applyAlignment="1">
      <x:alignment horizontal="right" vertical="center"/>
    </x:xf>
    <x:xf numFmtId="164" fontId="10" fillId="0" borderId="4" xfId="0" applyAlignment="1">
      <x:alignment horizontal="right" vertical="center"/>
    </x:xf>
    <x:xf numFmtId="165" fontId="10" fillId="0" borderId="4" xfId="0" applyAlignment="1">
      <x:alignment horizontal="right" vertical="center"/>
    </x:xf>
    <x:xf numFmtId="0" fontId="10" fillId="0" borderId="4" xfId="0" applyAlignment="1">
      <x:alignment horizontal="right" vertical="center"/>
    </x:xf>
    <x:xf numFmtId="164" fontId="9" fillId="0" borderId="4" xfId="0" applyAlignment="1">
      <x:alignment horizontal="right" vertical="center"/>
    </x:xf>
    <x:xf numFmtId="0" fontId="8" fillId="0" borderId="4" xfId="0" applyAlignment="1">
      <x:alignment vertical="top" wrapText="1"/>
    </x:xf>
    <x:xf numFmtId="0" fontId="10" fillId="0" borderId="4" xfId="0" applyAlignment="1">
      <x:alignment horizontal="right" vertical="center"/>
    </x:xf>
    <x:xf numFmtId="165" fontId="4" fillId="0" borderId="4" xfId="0" applyAlignment="1">
      <x:alignment horizontal="right" vertical="center"/>
    </x:xf>
    <x:xf numFmtId="165" fontId="4" fillId="0" borderId="0" xfId="0"/>
    <x:xf numFmtId="0" fontId="10" fillId="0" borderId="0" xfId="0"/>
    <x:xf numFmtId="0" fontId="0" fillId="0" borderId="0" xfId="0"/>
    <x:xf numFmtId="0" fontId="1" fillId="2" borderId="5" xfId="0" applyAlignment="1">
      <x:alignment horizontal="left" vertical="center"/>
    </x:xf>
    <x:xf numFmtId="0" fontId="3" fillId="3" borderId="5" xfId="0" applyAlignment="1">
      <x:alignment horizontal="left" vertical="center"/>
    </x:xf>
    <x:xf numFmtId="0" fontId="6" fillId="4" borderId="5" xfId="0" applyAlignment="1">
      <x:alignment horizontal="left" vertical="center"/>
    </x:xf>
    <x:xf numFmtId="0" fontId="14" fillId="0" borderId="0" xfId="0"/>
    <x:xf numFmtId="0" fontId="2" fillId="0" borderId="0" xfId="0" applyAlignment="1">
      <x:alignment wrapText="1"/>
    </x:xf>
    <x:xf numFmtId="0" fontId="12" fillId="5" borderId="0" xfId="0" applyAlignment="1">
      <x:alignment horizontal="center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DBE5F1"/>
        </x:patternFill>
      </x:fill>
      <x:border/>
    </x:dxf>
    <x:dxf>
      <x:fill>
        <x:patternFill>
          <x:bgColor theme="0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217a279c840e5" /><Relationship Type="http://schemas.openxmlformats.org/officeDocument/2006/relationships/theme" Target="/xl/theme/theme1.xml" Id="Rd0162fd6a4af4fe8" /><Relationship Type="http://schemas.openxmlformats.org/officeDocument/2006/relationships/sharedStrings" Target="/xl/sharedStrings.xml" Id="R65542ae6d9464d7b" /><Relationship Type="http://schemas.openxmlformats.org/officeDocument/2006/relationships/worksheet" Target="/xl/worksheets/sheet1.xml" Id="Rc002bb57bb884064" /><Relationship Type="http://schemas.openxmlformats.org/officeDocument/2006/relationships/worksheet" Target="/xl/worksheets/sheet2.xml" Id="R14c632a9fda041b3" /><Relationship Type="http://schemas.openxmlformats.org/officeDocument/2006/relationships/worksheet" Target="/xl/worksheets/sheet3.xml" Id="R112015e9a0ef45f6" /><Relationship Type="http://schemas.openxmlformats.org/officeDocument/2006/relationships/worksheet" Target="/xl/worksheets/sheet4.xml" Id="R0e52b8ef36a34dde" /><Relationship Type="http://schemas.openxmlformats.org/officeDocument/2006/relationships/worksheet" Target="/xl/worksheets/sheet5.xml" Id="Reb2e30ed1dd540e8" /><Relationship Type="http://schemas.openxmlformats.org/officeDocument/2006/relationships/worksheet" Target="/xl/worksheets/sheet6.xml" Id="Rb65c8d0fd7e34005" /><Relationship Type="http://schemas.openxmlformats.org/officeDocument/2006/relationships/worksheet" Target="/xl/worksheets/sheet7.xml" Id="R5dcfb4c221b549b4" /><Relationship Type="http://schemas.openxmlformats.org/officeDocument/2006/relationships/worksheet" Target="/xl/worksheets/sheet8.xml" Id="R5b76eb66dcea48b3" /><Relationship Type="http://schemas.openxmlformats.org/officeDocument/2006/relationships/worksheet" Target="/xl/worksheets/sheet9.xml" Id="Re110351cf9934bc2" /><Relationship Type="http://schemas.openxmlformats.org/officeDocument/2006/relationships/worksheet" Target="/xl/worksheets/sheet10.xml" Id="R42edb5165f8846a2" /><Relationship Type="http://schemas.openxmlformats.org/officeDocument/2006/relationships/worksheet" Target="/xl/worksheets/sheet11.xml" Id="Rf83b844d3d6e4727" /><Relationship Type="http://schemas.microsoft.com/office/2017/10/relationships/person" Target="/xl/persons/person.xml" Id="R9b74120210fb489d" /></Relationships>
</file>

<file path=xl/persons/person.xml><?xml version="1.0" encoding="utf-8"?>
<xltc:personList xmlns:xltc="http://schemas.microsoft.com/office/spreadsheetml/2018/threadedcomments">
  <xltc:person displayName="tc={64fc0319-a756-4554-935f-c5a1307e35a1}" id="{B20A5E8F-1F61-818A-517B-C7D0A5CE4CCA}"/>
  <xltc:person displayName="tc={fab62977-1f65-4fb0-a2a8-7ba317e20ff7}" id="{8D405F19-217E-915E-988D-2F2B68BCE584}"/>
  <xltc:person displayName="tc={d7dc55cc-c3b6-4cfa-a690-9337807397b5}" id="{BAB90862-E04B-2CAE-7625-45F3F19C4988}"/>
  <xltc:person displayName="tc={bbc10585-74ca-4d36-bd88-5fb48e615bd9}" id="{9F8B557B-EFB5-FC5E-68D4-710512EEA122}"/>
  <xltc:person displayName="tc={4286c356-bd7f-441b-97eb-665fc6613f16}" id="{D6F44A7D-7B1F-0702-F4D7-FD3F273B2F68}"/>
  <xltc:person displayName="tc={a1fd4d48-1747-46e2-b167-e86511c3d1c0}" id="{048820A1-9123-FD29-2E5A-BAD632098775}"/>
  <xltc:person displayName="tc={ef46facc-f092-4171-99ae-fdc0bb0eaced}" id="{70233279-B677-8438-2DD8-9EC1CC20E49E}"/>
  <xltc:person displayName="tc={f4c9d034-b94f-47bd-bc5a-ab5a15d69e55}" id="{DA968C57-5EDE-5C71-68CC-E4088DA7D757}"/>
  <xltc:person displayName="tc={7b0d5fec-ae68-4472-ae97-916cdf2e7d16}" id="{39B6E2E0-1F3E-79D2-2DD8-896BFCC57DD9}"/>
</xltc:personList>
</file>

<file path=xl/tables/table1.xml><?xml version="1.0" encoding="utf-8"?>
<x:table xmlns:x="http://schemas.openxmlformats.org/spreadsheetml/2006/main" id="1" name="Table_1" displayName="Table_1" ref="A3:I23" headerRowCount="1">
  <x:tableColumns count="9">
    <x:tableColumn id="1" name="Client"/>
    <x:tableColumn id="2" name="Opportunity"/>
    <x:tableColumn id="3" name="BD Lead"/>
    <x:tableColumn id="4" name="Submitted"/>
    <x:tableColumn id="5" name="Value_SAR"/>
    <x:tableColumn id="6" name="Probability_Pct"/>
    <x:tableColumn id="7" name="Weighted_Value_SAR"/>
    <x:tableColumn id="8" name="Stage"/>
    <x:tableColumn id="9" name="Notes"/>
  </x:tableColumns>
  <x:tableStyleInfo name="Sales_Raw_Opportunities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3:C13" headerRowCount="1">
  <x:tableColumns count="3">
    <x:tableColumn id="1" name="Operation Item"/>
    <x:tableColumn id="2" name="Status"/>
    <x:tableColumn id="3" name="Progress_Pct"/>
  </x:tableColumns>
  <x:tableStyleInfo name="Sales_Raw_Operations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0a9a4843f0147f1" /><Relationship Type="http://schemas.openxmlformats.org/officeDocument/2006/relationships/vmlDrawing" Target="/xl/drawings/vmldrawing.vml" Id="R286b6d6641ed46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42c884cddef47e8" /><Relationship Type="http://schemas.openxmlformats.org/officeDocument/2006/relationships/vmlDrawing" Target="/xl/drawings/vmldrawing2.vml" Id="R9f7b3854a831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d334409825cd4d17" /><Relationship Type="http://schemas.openxmlformats.org/officeDocument/2006/relationships/vmlDrawing" Target="/xl/drawings/vmldrawing3.vml" Id="R1bcce91cf9d24b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9e27c585ffef4e04" /><Relationship Type="http://schemas.openxmlformats.org/officeDocument/2006/relationships/vmlDrawing" Target="/xl/drawings/vmldrawing4.vml" Id="Raa0fbd90f6ca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10c1697a6a9e4f8e" /><Relationship Type="http://schemas.openxmlformats.org/officeDocument/2006/relationships/vmlDrawing" Target="/xl/drawings/vmldrawing5.vml" Id="Rc72cc2193ac4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fb908bef4c3c4d0b" /><Relationship Type="http://schemas.openxmlformats.org/officeDocument/2006/relationships/vmlDrawing" Target="/xl/drawings/vmldrawing6.vml" Id="R4836f4ce5a9b4b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b9b97cec3707498a" /><Relationship Type="http://schemas.openxmlformats.org/officeDocument/2006/relationships/vmlDrawing" Target="/xl/drawings/vmldrawing7.vml" Id="R70a4af29c6ef46ec" /><Relationship Type="http://schemas.openxmlformats.org/officeDocument/2006/relationships/table" Target="/xl/tables/table1.xml" Id="R928a9d73bb2042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759d674a1f0b44b6" /><Relationship Type="http://schemas.openxmlformats.org/officeDocument/2006/relationships/vmlDrawing" Target="/xl/drawings/vmldrawing8.vml" Id="R737e02e53b624d7f" /><Relationship Type="http://schemas.openxmlformats.org/officeDocument/2006/relationships/table" Target="/xl/tables/table2.xml" Id="Rd7bcf61bd5b241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3049c8e8bf3b48aa" /><Relationship Type="http://schemas.openxmlformats.org/officeDocument/2006/relationships/vmlDrawing" Target="/xl/drawings/vmldrawing9.vml" Id="R7704bddea81446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4" style="47" customWidth="1"/>
    <x:col min="2" max="2" width="95" style="47" customWidth="1"/>
    <x:col min="3" max="26" width="8.710000038146973" style="47" customWidth="1"/>
  </x:cols>
  <x:sheetData>
    <x:row r="1">
      <x:c r="A1" s="48" t="inlineStr">
        <x:is>
          <x:t xml:space="preserve">SAAFAH Dashboard Google Sheets Template</x:t>
        </x:is>
      </x:c>
    </x:row>
    <x:row r="2">
      <x:c r="A2" s="49" t="inlineStr">
        <x:is>
          <x:t xml:space="preserve">Built from the uploaded HTML dashboard structure. Sheets are organized to match the dashboard tabs, including Sales Performance.</x:t>
        </x:is>
      </x:c>
    </x:row>
    <x:row r="4">
      <x:c r="A4" s="5" t="inlineStr">
        <x:is>
          <x:t xml:space="preserve">How to use</x:t>
        </x:is>
      </x:c>
    </x:row>
    <x:row r="5">
      <x:c r="A5" s="6" t="inlineStr">
        <x:is>
          <x:t xml:space="preserve">1. Keep this XLSX file in the same GitHub/Vercel folder as index_excel_linked.html.</x:t>
        </x:is>
      </x:c>
    </x:row>
    <x:row r="6">
      <x:c r="A6" s="6" t="inlineStr">
        <x:is>
          <x:t xml:space="preserve">2. Update the blue-font input cells and the raw data tables.</x:t>
        </x:is>
      </x:c>
    </x:row>
    <x:row r="7">
      <x:c r="A7" s="6" t="inlineStr">
        <x:is>
          <x:t xml:space="preserve">3. Re-upload the XLSX when data changes; the HTML reads directly from this workbook.</x:t>
        </x:is>
      </x:c>
    </x:row>
    <x:row r="8">
      <x:c r="A8" s="6" t="inlineStr">
        <x:is>
          <x:t xml:space="preserve">4. Keep formulas intact; Excel will recalculate on save.</x:t>
        </x:is>
      </x:c>
    </x:row>
    <x:row r="9">
      <x:c r="A9" s="6" t="inlineStr">
        <x:is>
          <x:t xml:space="preserve">5. Use the Dashboard_Map sheet to connect each dashboard section to the right tab/range.</x:t>
        </x:is>
      </x:c>
    </x:row>
    <x:row r="10">
      <x:c r="A10" t="inlineStr">
        <x:is>
          <x:t xml:space="preserve">6. Sales Performance has both a page sheet and raw detail sheets for proposals and operations.</x:t>
        </x:is>
      </x:c>
    </x:row>
    <x:row r="11">
      <x:c r="A11" s="50" t="inlineStr">
        <x:is>
          <x:t xml:space="preserve">Workbook Tabs</x:t>
        </x:is>
      </x:c>
    </x:row>
    <x:row r="12">
      <x:c r="A12" s="30" t="inlineStr">
        <x:is>
          <x:t xml:space="preserve">Sheet</x:t>
        </x:is>
      </x:c>
      <x:c r="B12" s="30" t="inlineStr">
        <x:is>
          <x:t xml:space="preserve">Purpose</x:t>
        </x:is>
      </x:c>
    </x:row>
    <x:row r="13">
      <x:c r="A13" s="31" t="inlineStr">
        <x:is>
          <x:t xml:space="preserve">README</x:t>
        </x:is>
      </x:c>
      <x:c r="B13" s="42" t="inlineStr">
        <x:is>
          <x:t xml:space="preserve">Usage notes and import guidance</x:t>
        </x:is>
      </x:c>
    </x:row>
    <x:row r="14">
      <x:c r="A14" s="31" t="inlineStr">
        <x:is>
          <x:t xml:space="preserve">Dashboard_Map</x:t>
        </x:is>
      </x:c>
      <x:c r="B14" s="42" t="inlineStr">
        <x:is>
          <x:t xml:space="preserve">Mapping between dashboard tabs/sections and spreadsheet tabs</x:t>
        </x:is>
      </x:c>
    </x:row>
    <x:row r="15">
      <x:c r="A15" s="31" t="inlineStr">
        <x:is>
          <x:t xml:space="preserve">Financial_Overview</x:t>
        </x:is>
      </x:c>
      <x:c r="B15" s="42" t="inlineStr">
        <x:is>
          <x:t xml:space="preserve">Quarterly P&amp;L inputs and KPI formulas</x:t>
        </x:is>
      </x:c>
    </x:row>
    <x:row r="16">
      <x:c r="A16" s="31" t="inlineStr">
        <x:is>
          <x:t xml:space="preserve">Cash_Flow</x:t>
        </x:is>
      </x:c>
      <x:c r="B16" s="42" t="inlineStr">
        <x:is>
          <x:t xml:space="preserve">Quarterly cash flow inputs linked to financial data</x:t>
        </x:is>
      </x:c>
    </x:row>
    <x:row r="17">
      <x:c r="A17" s="31" t="inlineStr">
        <x:is>
          <x:t xml:space="preserve">Strategy_Operations</x:t>
        </x:is>
      </x:c>
      <x:c r="B17" s="42" t="inlineStr">
        <x:is>
          <x:t xml:space="preserve">Narrative content, service pillars, sectors, action plan, revenue mix</x:t>
        </x:is>
      </x:c>
    </x:row>
    <x:row r="18">
      <x:c r="A18" s="31" t="inlineStr">
        <x:is>
          <x:t xml:space="preserve">Pipeline_Revenue</x:t>
        </x:is>
      </x:c>
      <x:c r="B18" s="42" t="inlineStr">
        <x:is>
          <x:t xml:space="preserve">Active proposals, monthly revenue ramp, and collection schedule</x:t>
        </x:is>
      </x:c>
    </x:row>
    <x:row r="19">
      <x:c r="A19" s="31" t="inlineStr">
        <x:is>
          <x:t xml:space="preserve">Sales_Performance</x:t>
        </x:is>
      </x:c>
      <x:c r="B19" s="42" t="inlineStr">
        <x:is>
          <x:t xml:space="preserve">Sales KPI card inputs, funnel, probability buckets, top clients, and key insights</x:t>
        </x:is>
      </x:c>
    </x:row>
    <x:row r="20">
      <x:c r="A20" s="31" t="inlineStr">
        <x:is>
          <x:t xml:space="preserve">Sales_Raw_Opportunities</x:t>
        </x:is>
      </x:c>
      <x:c r="B20" s="42" t="inlineStr">
        <x:is>
          <x:t xml:space="preserve">Detailed proposals table used by sales page calculations</x:t>
        </x:is>
      </x:c>
    </x:row>
    <x:row r="21" s="47" customFormat="1" ht="15.75" customHeight="1">
      <x:c r="A21" s="31" t="inlineStr">
        <x:is>
          <x:t xml:space="preserve">Sales_Raw_Operations</x:t>
        </x:is>
      </x:c>
      <x:c r="B21" s="42" t="inlineStr">
        <x:is>
          <x:t xml:space="preserve">Operations readiness table used by sales page</x:t>
        </x:is>
      </x:c>
    </x:row>
    <x:row r="22" s="47" customFormat="1" ht="15.75" customHeight="1"/>
    <x:row r="23" s="47" customFormat="1" ht="15.75" customHeight="1"/>
    <x:row r="24" s="47" customFormat="1" ht="15.75" customHeight="1">
      <x:c r="A24" s="5" t="inlineStr">
        <x:is>
          <x:t xml:space="preserve">Source Reference</x:t>
        </x:is>
      </x:c>
    </x:row>
    <x:row r="25" s="47" customFormat="1" ht="15.75" customHeight="1">
      <x:c r="A25" s="6" t="inlineStr">
        <x:is>
          <x:t xml:space="preserve">Source dashboard: uploaded HTML file (index (5).html)</x:t>
        </x:is>
      </x:c>
    </x:row>
    <x:row r="26" s="47" customFormat="1" ht="15.75" customHeight="1">
      <x:c r="A26" s="6" t="inlineStr">
        <x:is>
          <x:t xml:space="preserve">Note: the HTML already contains a Sales Performance tab; this workbook includes a dedicated matching sheet plus raw sales data sheets.</x:t>
        </x:is>
      </x:c>
    </x:row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2:F2"/>
    <x:mergeCell ref="A1:F1"/>
    <x:mergeCell ref="A11:D11"/>
  </x:mergeCells>
  <x:pageMargins left="0.7" right="0.7" top="0.75" bottom="0.75" header="0.3" footer="0.3"/>
  <x:legacyDrawing xmlns:r="http://schemas.openxmlformats.org/officeDocument/2006/relationships" r:id="R286b6d6641ed46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2" style="47" customWidth="1"/>
    <x:col min="2" max="3" width="28" style="47" customWidth="1"/>
    <x:col min="4" max="4" width="24" style="47" customWidth="1"/>
    <x:col min="5" max="5" width="18" style="47" customWidth="1"/>
    <x:col min="6" max="6" width="40" style="47" customWidth="1"/>
    <x:col min="7" max="26" width="8.710000038146973" style="47" customWidth="1"/>
  </x:cols>
  <x:sheetData>
    <x:row r="1">
      <x:c r="A1" s="48" t="inlineStr">
        <x:is>
          <x:t xml:space="preserve">Dashboard Section Map</x:t>
        </x:is>
      </x:c>
    </x:row>
    <x:row r="3">
      <x:c r="A3" s="30" t="inlineStr">
        <x:is>
          <x:t xml:space="preserve">Dashboard Page</x:t>
        </x:is>
      </x:c>
      <x:c r="B3" s="30" t="inlineStr">
        <x:is>
          <x:t xml:space="preserve">Dashboard Element</x:t>
        </x:is>
      </x:c>
      <x:c r="C3" s="30" t="inlineStr">
        <x:is>
          <x:t xml:space="preserve">Spreadsheet Tab</x:t>
        </x:is>
      </x:c>
      <x:c r="D3" s="30" t="inlineStr">
        <x:is>
          <x:t xml:space="preserve">Range / Section</x:t>
        </x:is>
      </x:c>
      <x:c r="E3" s="30" t="inlineStr">
        <x:is>
          <x:t xml:space="preserve">Update Type</x:t>
        </x:is>
      </x:c>
      <x:c r="F3" s="30" t="inlineStr">
        <x:is>
          <x:t xml:space="preserve">Notes</x:t>
        </x:is>
      </x:c>
    </x:row>
    <x:row r="4">
      <x:c r="A4" s="11" t="inlineStr">
        <x:is>
          <x:t xml:space="preserve">Financial Overview</x:t>
        </x:is>
      </x:c>
      <x:c r="B4" s="12" t="inlineStr">
        <x:is>
          <x:t xml:space="preserve">KPI Cards</x:t>
        </x:is>
      </x:c>
      <x:c r="C4" s="11" t="inlineStr">
        <x:is>
          <x:t xml:space="preserve">Financial_Overview</x:t>
        </x:is>
      </x:c>
      <x:c r="D4" s="42" t="inlineStr">
        <x:is>
          <x:t xml:space="preserve">A4:D8</x:t>
        </x:is>
      </x:c>
      <x:c r="E4" s="42" t="inlineStr">
        <x:is>
          <x:t xml:space="preserve">Formula-driven</x:t>
        </x:is>
      </x:c>
      <x:c r="F4" s="42" t="inlineStr">
        <x:is>
          <x:t xml:space="preserve">Revenue, GP, Net P/L, Overheads</x:t>
        </x:is>
      </x:c>
    </x:row>
    <x:row r="5">
      <x:c r="A5" s="11" t="inlineStr">
        <x:is>
          <x:t xml:space="preserve">Financial Overview</x:t>
        </x:is>
      </x:c>
      <x:c r="B5" s="12" t="inlineStr">
        <x:is>
          <x:t xml:space="preserve">P&amp;L Summary Table</x:t>
        </x:is>
      </x:c>
      <x:c r="C5" s="11" t="inlineStr">
        <x:is>
          <x:t xml:space="preserve">Financial_Overview</x:t>
        </x:is>
      </x:c>
      <x:c r="D5" s="42" t="inlineStr">
        <x:is>
          <x:t xml:space="preserve">A10:F16</x:t>
        </x:is>
      </x:c>
      <x:c r="E5" s="42" t="inlineStr">
        <x:is>
          <x:t xml:space="preserve">Input + Formula</x:t>
        </x:is>
      </x:c>
      <x:c r="F5" s="42" t="inlineStr">
        <x:is>
          <x:t xml:space="preserve">Update revenue, cost of revenue, overheads</x:t>
        </x:is>
      </x:c>
    </x:row>
    <x:row r="6">
      <x:c r="A6" s="11" t="inlineStr">
        <x:is>
          <x:t xml:space="preserve">Cash Flow</x:t>
        </x:is>
      </x:c>
      <x:c r="B6" s="12" t="inlineStr">
        <x:is>
          <x:t xml:space="preserve">KPI Cards</x:t>
        </x:is>
      </x:c>
      <x:c r="C6" s="11" t="inlineStr">
        <x:is>
          <x:t xml:space="preserve">Cash_Flow</x:t>
        </x:is>
      </x:c>
      <x:c r="D6" s="42" t="inlineStr">
        <x:is>
          <x:t xml:space="preserve">A4:D8</x:t>
        </x:is>
      </x:c>
      <x:c r="E6" s="42" t="inlineStr">
        <x:is>
          <x:t xml:space="preserve">Formula-driven</x:t>
        </x:is>
      </x:c>
      <x:c r="F6" s="42" t="inlineStr">
        <x:is>
          <x:t xml:space="preserve">Opening, inflow, outflow, closing</x:t>
        </x:is>
      </x:c>
    </x:row>
    <x:row r="7">
      <x:c r="A7" s="11" t="inlineStr">
        <x:is>
          <x:t xml:space="preserve">Cash Flow</x:t>
        </x:is>
      </x:c>
      <x:c r="B7" s="12" t="inlineStr">
        <x:is>
          <x:t xml:space="preserve">Cash Flow Summary Table</x:t>
        </x:is>
      </x:c>
      <x:c r="C7" s="11" t="inlineStr">
        <x:is>
          <x:t xml:space="preserve">Cash_Flow</x:t>
        </x:is>
      </x:c>
      <x:c r="D7" s="42" t="inlineStr">
        <x:is>
          <x:t xml:space="preserve">A10:F19</x:t>
        </x:is>
      </x:c>
      <x:c r="E7" s="42" t="inlineStr">
        <x:is>
          <x:t xml:space="preserve">Input + Link</x:t>
        </x:is>
      </x:c>
      <x:c r="F7" s="42" t="inlineStr">
        <x:is>
          <x:t xml:space="preserve">Collections editable; expenses linked to Financial_Overview</x:t>
        </x:is>
      </x:c>
    </x:row>
    <x:row r="8">
      <x:c r="A8" s="11" t="inlineStr">
        <x:is>
          <x:t xml:space="preserve">Strategy &amp; Operations</x:t>
        </x:is>
      </x:c>
      <x:c r="B8" s="12" t="inlineStr">
        <x:is>
          <x:t xml:space="preserve">Mission / Narrative</x:t>
        </x:is>
      </x:c>
      <x:c r="C8" s="11" t="inlineStr">
        <x:is>
          <x:t xml:space="preserve">Strategy_Operations</x:t>
        </x:is>
      </x:c>
      <x:c r="D8" s="42" t="inlineStr">
        <x:is>
          <x:t xml:space="preserve">A4:B5</x:t>
        </x:is>
      </x:c>
      <x:c r="E8" s="42" t="inlineStr">
        <x:is>
          <x:t xml:space="preserve">Editable text</x:t>
        </x:is>
      </x:c>
      <x:c r="F8" s="42" t="inlineStr">
        <x:is>
          <x:t xml:space="preserve">Mission and context</x:t>
        </x:is>
      </x:c>
    </x:row>
    <x:row r="9">
      <x:c r="A9" s="11" t="inlineStr">
        <x:is>
          <x:t xml:space="preserve">Strategy &amp; Operations</x:t>
        </x:is>
      </x:c>
      <x:c r="B9" s="12" t="inlineStr">
        <x:is>
          <x:t xml:space="preserve">Service Pillars</x:t>
        </x:is>
      </x:c>
      <x:c r="C9" s="11" t="inlineStr">
        <x:is>
          <x:t xml:space="preserve">Strategy_Operations</x:t>
        </x:is>
      </x:c>
      <x:c r="D9" s="42" t="inlineStr">
        <x:is>
          <x:t xml:space="preserve">A8:B10</x:t>
        </x:is>
      </x:c>
      <x:c r="E9" s="42" t="inlineStr">
        <x:is>
          <x:t xml:space="preserve">Editable text</x:t>
        </x:is>
      </x:c>
      <x:c r="F9" s="42" t="inlineStr">
        <x:is>
          <x:t xml:space="preserve">3 pillars</x:t>
        </x:is>
      </x:c>
    </x:row>
    <x:row r="10">
      <x:c r="A10" s="11" t="inlineStr">
        <x:is>
          <x:t xml:space="preserve">Strategy &amp; Operations</x:t>
        </x:is>
      </x:c>
      <x:c r="B10" s="12" t="inlineStr">
        <x:is>
          <x:t xml:space="preserve">Target Sectors</x:t>
        </x:is>
      </x:c>
      <x:c r="C10" s="11" t="inlineStr">
        <x:is>
          <x:t xml:space="preserve">Strategy_Operations</x:t>
        </x:is>
      </x:c>
      <x:c r="D10" s="42" t="inlineStr">
        <x:is>
          <x:t xml:space="preserve">A13:C15</x:t>
        </x:is>
      </x:c>
      <x:c r="E10" s="42" t="inlineStr">
        <x:is>
          <x:t xml:space="preserve">Editable text</x:t>
        </x:is>
      </x:c>
      <x:c r="F10" s="42" t="inlineStr">
        <x:is>
          <x:t xml:space="preserve">Government and non-government</x:t>
        </x:is>
      </x:c>
    </x:row>
    <x:row r="11">
      <x:c r="A11" s="11" t="inlineStr">
        <x:is>
          <x:t xml:space="preserve">Strategy &amp; Operations</x:t>
        </x:is>
      </x:c>
      <x:c r="B11" s="12" t="inlineStr">
        <x:is>
          <x:t xml:space="preserve">Action Plan / Goals</x:t>
        </x:is>
      </x:c>
      <x:c r="C11" s="11" t="inlineStr">
        <x:is>
          <x:t xml:space="preserve">Strategy_Operations</x:t>
        </x:is>
      </x:c>
      <x:c r="D11" s="42" t="inlineStr">
        <x:is>
          <x:t xml:space="preserve">A18:B23</x:t>
        </x:is>
      </x:c>
      <x:c r="E11" s="42" t="inlineStr">
        <x:is>
          <x:t xml:space="preserve">Editable text</x:t>
        </x:is>
      </x:c>
      <x:c r="F11" s="42" t="inlineStr">
        <x:is>
          <x:t xml:space="preserve">Approach and goals</x:t>
        </x:is>
      </x:c>
    </x:row>
    <x:row r="12">
      <x:c r="A12" s="11" t="inlineStr">
        <x:is>
          <x:t xml:space="preserve">Strategy &amp; Operations</x:t>
        </x:is>
      </x:c>
      <x:c r="B12" s="12" t="inlineStr">
        <x:is>
          <x:t xml:space="preserve">Revenue Mix</x:t>
        </x:is>
      </x:c>
      <x:c r="C12" s="11" t="inlineStr">
        <x:is>
          <x:t xml:space="preserve">Strategy_Operations</x:t>
        </x:is>
      </x:c>
      <x:c r="D12" s="42" t="inlineStr">
        <x:is>
          <x:t xml:space="preserve">E8:G10</x:t>
        </x:is>
      </x:c>
      <x:c r="E12" s="42" t="inlineStr">
        <x:is>
          <x:t xml:space="preserve">Formula-driven</x:t>
        </x:is>
      </x:c>
      <x:c r="F12" s="42" t="inlineStr">
        <x:is>
          <x:t xml:space="preserve">Linked to Pipeline_Revenue monthly revenue</x:t>
        </x:is>
      </x:c>
    </x:row>
    <x:row r="13">
      <x:c r="A13" s="11" t="inlineStr">
        <x:is>
          <x:t xml:space="preserve">Pipeline &amp; Revenue</x:t>
        </x:is>
      </x:c>
      <x:c r="B13" s="12" t="inlineStr">
        <x:is>
          <x:t xml:space="preserve">Summary KPIs</x:t>
        </x:is>
      </x:c>
      <x:c r="C13" s="11" t="inlineStr">
        <x:is>
          <x:t xml:space="preserve">Pipeline_Revenue</x:t>
        </x:is>
      </x:c>
      <x:c r="D13" s="42" t="inlineStr">
        <x:is>
          <x:t xml:space="preserve">A4:C6</x:t>
        </x:is>
      </x:c>
      <x:c r="E13" s="42" t="inlineStr">
        <x:is>
          <x:t xml:space="preserve">Mixed</x:t>
        </x:is>
      </x:c>
      <x:c r="F13" s="42" t="inlineStr">
        <x:is>
          <x:t xml:space="preserve">Annual pipeline formula + manual Q1-Q2 metric</x:t>
        </x:is>
      </x:c>
    </x:row>
    <x:row r="14">
      <x:c r="A14" s="11" t="inlineStr">
        <x:is>
          <x:t xml:space="preserve">Pipeline &amp; Revenue</x:t>
        </x:is>
      </x:c>
      <x:c r="B14" s="12" t="inlineStr">
        <x:is>
          <x:t xml:space="preserve">Monthly Revenue Ramp</x:t>
        </x:is>
      </x:c>
      <x:c r="C14" s="11" t="inlineStr">
        <x:is>
          <x:t xml:space="preserve">Pipeline_Revenue</x:t>
        </x:is>
      </x:c>
      <x:c r="D14" s="42" t="inlineStr">
        <x:is>
          <x:t xml:space="preserve">A10:E23</x:t>
        </x:is>
      </x:c>
      <x:c r="E14" s="42" t="inlineStr">
        <x:is>
          <x:t xml:space="preserve">Input + Formula</x:t>
        </x:is>
      </x:c>
      <x:c r="F14" s="42" t="inlineStr">
        <x:is>
          <x:t xml:space="preserve">Monthly advisory/training revenue</x:t>
        </x:is>
      </x:c>
    </x:row>
    <x:row r="15">
      <x:c r="A15" s="11" t="inlineStr">
        <x:is>
          <x:t xml:space="preserve">Pipeline &amp; Revenue</x:t>
        </x:is>
      </x:c>
      <x:c r="B15" s="12" t="inlineStr">
        <x:is>
          <x:t xml:space="preserve">Active Proposals</x:t>
        </x:is>
      </x:c>
      <x:c r="C15" s="11" t="inlineStr">
        <x:is>
          <x:t xml:space="preserve">Pipeline_Revenue</x:t>
        </x:is>
      </x:c>
      <x:c r="D15" s="42" t="inlineStr">
        <x:is>
          <x:t xml:space="preserve">G10:I20</x:t>
        </x:is>
      </x:c>
      <x:c r="E15" s="42" t="inlineStr">
        <x:is>
          <x:t xml:space="preserve">Editable table</x:t>
        </x:is>
      </x:c>
      <x:c r="F15" s="42" t="inlineStr">
        <x:is>
          <x:t xml:space="preserve">Proposal list shown in dashboard</x:t>
        </x:is>
      </x:c>
    </x:row>
    <x:row r="16">
      <x:c r="A16" s="11" t="inlineStr">
        <x:is>
          <x:t xml:space="preserve">Pipeline &amp; Revenue</x:t>
        </x:is>
      </x:c>
      <x:c r="B16" s="12" t="inlineStr">
        <x:is>
          <x:t xml:space="preserve">Collection Schedule</x:t>
        </x:is>
      </x:c>
      <x:c r="C16" s="11" t="inlineStr">
        <x:is>
          <x:t xml:space="preserve">Pipeline_Revenue</x:t>
        </x:is>
      </x:c>
      <x:c r="D16" s="42" t="inlineStr">
        <x:is>
          <x:t xml:space="preserve">A26:F29</x:t>
        </x:is>
      </x:c>
      <x:c r="E16" s="42" t="inlineStr">
        <x:is>
          <x:t xml:space="preserve">Linked</x:t>
        </x:is>
      </x:c>
      <x:c r="F16" s="42" t="inlineStr">
        <x:is>
          <x:t xml:space="preserve">Directly linked to Cash_Flow collections</x:t>
        </x:is>
      </x:c>
    </x:row>
    <x:row r="17">
      <x:c r="A17" s="11" t="inlineStr">
        <x:is>
          <x:t xml:space="preserve">Sales Performance</x:t>
        </x:is>
      </x:c>
      <x:c r="B17" s="12" t="inlineStr">
        <x:is>
          <x:t xml:space="preserve">KPI Cards</x:t>
        </x:is>
      </x:c>
      <x:c r="C17" s="11" t="inlineStr">
        <x:is>
          <x:t xml:space="preserve">Sales_Performance</x:t>
        </x:is>
      </x:c>
      <x:c r="D17" s="42" t="inlineStr">
        <x:is>
          <x:t xml:space="preserve">A4:G8</x:t>
        </x:is>
      </x:c>
      <x:c r="E17" s="42" t="inlineStr">
        <x:is>
          <x:t xml:space="preserve">Editable source table</x:t>
        </x:is>
      </x:c>
      <x:c r="F17" s="42" t="inlineStr">
        <x:is>
          <x:t xml:space="preserve">Matches dashboard card values incl. month/week notes</x:t>
        </x:is>
      </x:c>
    </x:row>
    <x:row r="18">
      <x:c r="A18" s="11" t="inlineStr">
        <x:is>
          <x:t xml:space="preserve">Sales Performance</x:t>
        </x:is>
      </x:c>
      <x:c r="B18" s="12" t="inlineStr">
        <x:is>
          <x:t xml:space="preserve">Sales Funnel</x:t>
        </x:is>
      </x:c>
      <x:c r="C18" s="11" t="inlineStr">
        <x:is>
          <x:t xml:space="preserve">Sales_Performance</x:t>
        </x:is>
      </x:c>
      <x:c r="D18" s="42" t="inlineStr">
        <x:is>
          <x:t xml:space="preserve">A10:E14</x:t>
        </x:is>
      </x:c>
      <x:c r="E18" s="42" t="inlineStr">
        <x:is>
          <x:t xml:space="preserve">Linked / editable</x:t>
        </x:is>
      </x:c>
      <x:c r="F18" s="42" t="inlineStr">
        <x:is>
          <x:t xml:space="preserve">Feeds funnel counts and values</x:t>
        </x:is>
      </x:c>
    </x:row>
    <x:row r="19">
      <x:c r="A19" s="11" t="inlineStr">
        <x:is>
          <x:t xml:space="preserve">Sales Performance</x:t>
        </x:is>
      </x:c>
      <x:c r="B19" s="12" t="inlineStr">
        <x:is>
          <x:t xml:space="preserve">Probability Breakdown</x:t>
        </x:is>
      </x:c>
      <x:c r="C19" s="11" t="inlineStr">
        <x:is>
          <x:t xml:space="preserve">Sales_Performance</x:t>
        </x:is>
      </x:c>
      <x:c r="D19" s="42" t="inlineStr">
        <x:is>
          <x:t xml:space="preserve">G4:I14</x:t>
        </x:is>
      </x:c>
      <x:c r="E19" s="42" t="inlineStr">
        <x:is>
          <x:t xml:space="preserve">Formula-driven</x:t>
        </x:is>
      </x:c>
      <x:c r="F19" s="42" t="inlineStr">
        <x:is>
          <x:t xml:space="preserve">Counts probabilities from raw opportunities</x:t>
        </x:is>
      </x:c>
    </x:row>
    <x:row r="20">
      <x:c r="A20" s="11" t="inlineStr">
        <x:is>
          <x:t xml:space="preserve">Sales Performance</x:t>
        </x:is>
      </x:c>
      <x:c r="B20" s="12" t="inlineStr">
        <x:is>
          <x:t xml:space="preserve">Top Clients</x:t>
        </x:is>
      </x:c>
      <x:c r="C20" s="11" t="inlineStr">
        <x:is>
          <x:t xml:space="preserve">Sales_Performance</x:t>
        </x:is>
      </x:c>
      <x:c r="D20" s="42" t="inlineStr">
        <x:is>
          <x:t xml:space="preserve">G16:I24</x:t>
        </x:is>
      </x:c>
      <x:c r="E20" s="42" t="inlineStr">
        <x:is>
          <x:t xml:space="preserve">Formula-driven</x:t>
        </x:is>
      </x:c>
      <x:c r="F20" s="42" t="inlineStr">
        <x:is>
          <x:t xml:space="preserve">Uses client names + SUMIF against raw opportunities</x:t>
        </x:is>
      </x:c>
    </x:row>
    <x:row r="21" s="47" customFormat="1" ht="15.75" customHeight="1">
      <x:c r="A21" s="11" t="inlineStr">
        <x:is>
          <x:t xml:space="preserve">Sales Performance</x:t>
        </x:is>
      </x:c>
      <x:c r="B21" s="12" t="inlineStr">
        <x:is>
          <x:t xml:space="preserve">Stage Detail Breakdown</x:t>
        </x:is>
      </x:c>
      <x:c r="C21" s="11" t="inlineStr">
        <x:is>
          <x:t xml:space="preserve">Sales_Stage_Details</x:t>
        </x:is>
      </x:c>
      <x:c r="D21" s="42" t="inlineStr">
        <x:is>
          <x:t xml:space="preserve">A4:G200</x:t>
        </x:is>
      </x:c>
      <x:c r="E21" s="42" t="inlineStr">
        <x:is>
          <x:t xml:space="preserve">Editable feed</x:t>
        </x:is>
      </x:c>
      <x:c r="F21" s="42" t="inlineStr">
        <x:is>
          <x:t xml:space="preserve">Client-level this month / this week detail for Leads, Active Proposal, Submitted, Won</x:t>
        </x:is>
      </x:c>
    </x:row>
    <x:row r="22" s="47" customFormat="1" ht="15.75" customHeight="1">
      <x:c r="A22" s="11" t="inlineStr">
        <x:is>
          <x:t xml:space="preserve">Sales Performance</x:t>
        </x:is>
      </x:c>
      <x:c r="B22" s="12" t="inlineStr">
        <x:is>
          <x:t xml:space="preserve">Submitted Proposals</x:t>
        </x:is>
      </x:c>
      <x:c r="C22" s="11" t="inlineStr">
        <x:is>
          <x:t xml:space="preserve">Sales_Raw_Opportunities</x:t>
        </x:is>
      </x:c>
      <x:c r="D22" s="42" t="inlineStr">
        <x:is>
          <x:t xml:space="preserve">A3:I22</x:t>
        </x:is>
      </x:c>
      <x:c r="E22" s="42" t="inlineStr">
        <x:is>
          <x:t xml:space="preserve">Editable raw table</x:t>
        </x:is>
      </x:c>
      <x:c r="F22" s="42" t="inlineStr">
        <x:is>
          <x:t xml:space="preserve">Maintained in raw sheet</x:t>
        </x:is>
      </x:c>
    </x:row>
    <x:row r="23" s="47" customFormat="1" ht="15.75" customHeight="1">
      <x:c r="A23" s="13" t="inlineStr">
        <x:is>
          <x:t xml:space="preserve">Sales Performance</x:t>
        </x:is>
      </x:c>
      <x:c r="B23" s="14" t="inlineStr">
        <x:is>
          <x:t xml:space="preserve">Operations Readiness</x:t>
        </x:is>
      </x:c>
      <x:c r="C23" s="13" t="inlineStr">
        <x:is>
          <x:t xml:space="preserve">Sales_Raw_Operations</x:t>
        </x:is>
      </x:c>
      <x:c r="D23" s="15" t="inlineStr">
        <x:is>
          <x:t xml:space="preserve">A3:C13</x:t>
        </x:is>
      </x:c>
      <x:c r="E23" s="15" t="inlineStr">
        <x:is>
          <x:t xml:space="preserve">Editable raw table</x:t>
        </x:is>
      </x:c>
      <x:c r="F23" s="15" t="inlineStr">
        <x:is>
          <x:t xml:space="preserve">Maintained in raw sheet</x:t>
        </x:is>
      </x:c>
    </x:row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9f7b3854a83141c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4" style="47" customWidth="1"/>
    <x:col min="2" max="5" width="14" style="47" customWidth="1"/>
    <x:col min="6" max="6" width="16" style="47" customWidth="1"/>
    <x:col min="7" max="26" width="8.710000038146973" style="47" customWidth="1"/>
  </x:cols>
  <x:sheetData>
    <x:row r="1">
      <x:c r="A1" s="48" t="inlineStr">
        <x:is>
          <x:t xml:space="preserve">Financial Overview</x:t>
        </x:is>
      </x:c>
    </x:row>
    <x:row r="2">
      <x:c r="A2" s="49" t="inlineStr">
        <x:is>
          <x:t xml:space="preserve">Quarterly P&amp;L structure for the dashboard financial tab.</x:t>
        </x:is>
      </x:c>
    </x:row>
    <x:row r="3">
      <x:c r="A3" s="50" t="inlineStr">
        <x:is>
          <x:t xml:space="preserve">KPI Cards</x:t>
        </x:is>
      </x:c>
    </x:row>
    <x:row r="4">
      <x:c r="A4" s="30" t="inlineStr">
        <x:is>
          <x:t xml:space="preserve">KPI</x:t>
        </x:is>
      </x:c>
      <x:c r="B4" s="30" t="inlineStr">
        <x:is>
          <x:t xml:space="preserve">Value</x:t>
        </x:is>
      </x:c>
      <x:c r="C4" s="30" t="inlineStr">
        <x:is>
          <x:t xml:space="preserve">Unit</x:t>
        </x:is>
      </x:c>
      <x:c r="D4" s="30" t="inlineStr">
        <x:is>
          <x:t xml:space="preserve">Source</x:t>
        </x:is>
      </x:c>
    </x:row>
    <x:row r="5">
      <x:c r="A5" s="31" t="inlineStr">
        <x:is>
          <x:t xml:space="preserve">Revenue 2026</x:t>
        </x:is>
      </x:c>
      <x:c r="B5" s="16">
        <x:f>F11</x:f>
        <x:v>3047376.25</x:v>
      </x:c>
      <x:c r="C5" s="33" t="inlineStr">
        <x:is>
          <x:t xml:space="preserve">SAR</x:t>
        </x:is>
      </x:c>
      <x:c r="D5" s="33" t="inlineStr">
        <x:is>
          <x:t xml:space="preserve">Year total revenue</x:t>
        </x:is>
      </x:c>
    </x:row>
    <x:row r="6">
      <x:c r="A6" s="31" t="inlineStr">
        <x:is>
          <x:t xml:space="preserve">Gross Profit 2026</x:t>
        </x:is>
      </x:c>
      <x:c r="B6" s="16">
        <x:f>F13</x:f>
        <x:v>1218950.5</x:v>
      </x:c>
      <x:c r="C6" s="33" t="inlineStr">
        <x:is>
          <x:t xml:space="preserve">SAR</x:t>
        </x:is>
      </x:c>
      <x:c r="D6" s="33" t="inlineStr">
        <x:is>
          <x:t xml:space="preserve">Year total gross profit</x:t>
        </x:is>
      </x:c>
    </x:row>
    <x:row r="7">
      <x:c r="A7" s="31" t="inlineStr">
        <x:is>
          <x:t xml:space="preserve">Net P/L 2026</x:t>
        </x:is>
      </x:c>
      <x:c r="B7" s="16">
        <x:f>F16</x:f>
        <x:v>-1951189.5</x:v>
      </x:c>
      <x:c r="C7" s="33" t="inlineStr">
        <x:is>
          <x:t xml:space="preserve">SAR</x:t>
        </x:is>
      </x:c>
      <x:c r="D7" s="33" t="inlineStr">
        <x:is>
          <x:t xml:space="preserve">Year total net profit / loss</x:t>
        </x:is>
      </x:c>
    </x:row>
    <x:row r="8">
      <x:c r="A8" s="31" t="inlineStr">
        <x:is>
          <x:t xml:space="preserve">Overheads 2026</x:t>
        </x:is>
      </x:c>
      <x:c r="B8" s="16">
        <x:f>F15</x:f>
        <x:v>-3170140</x:v>
      </x:c>
      <x:c r="C8" s="33" t="inlineStr">
        <x:is>
          <x:t xml:space="preserve">SAR</x:t>
        </x:is>
      </x:c>
      <x:c r="D8" s="33" t="inlineStr">
        <x:is>
          <x:t xml:space="preserve">Year total overheads</x:t>
        </x:is>
      </x:c>
    </x:row>
    <x:row r="9">
      <x:c r="A9" s="50" t="inlineStr">
        <x:is>
          <x:t xml:space="preserve">P&amp;L Summary — Quarterly Forecast 2026</x:t>
        </x:is>
      </x:c>
    </x:row>
    <x:row r="10">
      <x:c r="A10" s="30" t="inlineStr">
        <x:is>
          <x:t xml:space="preserve">Description</x:t>
        </x:is>
      </x:c>
      <x:c r="B10" s="30" t="inlineStr">
        <x:is>
          <x:t xml:space="preserve">Q1</x:t>
        </x:is>
      </x:c>
      <x:c r="C10" s="30" t="inlineStr">
        <x:is>
          <x:t xml:space="preserve">Q2</x:t>
        </x:is>
      </x:c>
      <x:c r="D10" s="30" t="inlineStr">
        <x:is>
          <x:t xml:space="preserve">Q3</x:t>
        </x:is>
      </x:c>
      <x:c r="E10" s="30" t="inlineStr">
        <x:is>
          <x:t xml:space="preserve">Q4</x:t>
        </x:is>
      </x:c>
      <x:c r="F10" s="30" t="inlineStr">
        <x:is>
          <x:t xml:space="preserve">Year 2026</x:t>
        </x:is>
      </x:c>
    </x:row>
    <x:row r="11">
      <x:c r="A11" s="31" t="inlineStr">
        <x:is>
          <x:t xml:space="preserve">Revenue</x:t>
        </x:is>
      </x:c>
      <x:c r="B11" s="38" t="n">
        <x:v>0</x:v>
      </x:c>
      <x:c r="C11" s="38" t="n">
        <x:v>560000</x:v>
      </x:c>
      <x:c r="D11" s="38" t="n">
        <x:v>1043593.75</x:v>
      </x:c>
      <x:c r="E11" s="38" t="n">
        <x:v>1443782.5</x:v>
      </x:c>
      <x:c r="F11" s="41">
        <x:f>SUM(B11:E11)</x:f>
        <x:v>3047376.25</x:v>
      </x:c>
    </x:row>
    <x:row r="12">
      <x:c r="A12" s="31" t="inlineStr">
        <x:is>
          <x:t xml:space="preserve">Cost of Revenue</x:t>
        </x:is>
      </x:c>
      <x:c r="B12" s="38" t="n"/>
      <x:c r="C12" s="38" t="n">
        <x:v>-336000</x:v>
      </x:c>
      <x:c r="D12" s="38" t="n">
        <x:v>-626156.25</x:v>
      </x:c>
      <x:c r="E12" s="38" t="n">
        <x:v>-866269.5</x:v>
      </x:c>
      <x:c r="F12" s="41">
        <x:f>SUM(B12:E12)</x:f>
        <x:v>-1828425.75</x:v>
      </x:c>
    </x:row>
    <x:row r="13">
      <x:c r="A13" s="31" t="inlineStr">
        <x:is>
          <x:t xml:space="preserve">Gross Profit</x:t>
        </x:is>
      </x:c>
      <x:c r="B13" s="41">
        <x:f>B11+B12</x:f>
        <x:v>0</x:v>
      </x:c>
      <x:c r="C13" s="41">
        <x:f>C11+C12</x:f>
        <x:v>224000</x:v>
      </x:c>
      <x:c r="D13" s="41">
        <x:f>D11+D12</x:f>
        <x:v>417437.5</x:v>
      </x:c>
      <x:c r="E13" s="41">
        <x:f>E11+E12</x:f>
        <x:v>577513</x:v>
      </x:c>
      <x:c r="F13" s="41">
        <x:f>SUM(B13:E13)</x:f>
        <x:v>1218950.5</x:v>
      </x:c>
    </x:row>
    <x:row r="14">
      <x:c r="A14" s="31" t="inlineStr">
        <x:is>
          <x:t xml:space="preserve">GP %</x:t>
        </x:is>
      </x:c>
      <x:c r="B14" s="21">
        <x:f>IFERROR(B13/B11,0)</x:f>
        <x:v>0</x:v>
      </x:c>
      <x:c r="C14" s="21">
        <x:f>IFERROR(C13/C11,0)</x:f>
        <x:v>0.4</x:v>
      </x:c>
      <x:c r="D14" s="21">
        <x:f>IFERROR(D13/D11,0)</x:f>
        <x:v>0.4</x:v>
      </x:c>
      <x:c r="E14" s="21">
        <x:f>IFERROR(E13/E11,0)</x:f>
        <x:v>0.4</x:v>
      </x:c>
      <x:c r="F14" s="22">
        <x:f>IFERROR(F13/F11,0)</x:f>
        <x:v>0.4</x:v>
      </x:c>
    </x:row>
    <x:row r="15">
      <x:c r="A15" s="31" t="inlineStr">
        <x:is>
          <x:t xml:space="preserve">Overheads</x:t>
        </x:is>
      </x:c>
      <x:c r="B15" s="38" t="n">
        <x:v>-775035</x:v>
      </x:c>
      <x:c r="C15" s="38" t="n">
        <x:v>-825035</x:v>
      </x:c>
      <x:c r="D15" s="38" t="n">
        <x:v>-775035</x:v>
      </x:c>
      <x:c r="E15" s="38" t="n">
        <x:v>-795035</x:v>
      </x:c>
      <x:c r="F15" s="41">
        <x:f>SUM(B15:E15)</x:f>
        <x:v>-3170140</x:v>
      </x:c>
    </x:row>
    <x:row r="16">
      <x:c r="A16" s="31" t="inlineStr">
        <x:is>
          <x:t xml:space="preserve">Net Profit / Loss</x:t>
        </x:is>
      </x:c>
      <x:c r="B16" s="41">
        <x:f>B13+B15</x:f>
        <x:v>-775035</x:v>
      </x:c>
      <x:c r="C16" s="41">
        <x:f>C13+C15</x:f>
        <x:v>-601035</x:v>
      </x:c>
      <x:c r="D16" s="41">
        <x:f>D13+D15</x:f>
        <x:v>-357597.5</x:v>
      </x:c>
      <x:c r="E16" s="41">
        <x:f>E13+E15</x:f>
        <x:v>-217522</x:v>
      </x:c>
      <x:c r="F16" s="41">
        <x:f>F13+F15</x:f>
        <x:v>-1951189.5</x:v>
      </x:c>
    </x:row>
    <x:row r="21" s="47" customFormat="1" ht="15.75" customHeight="1"/>
    <x:row r="22" s="47" customFormat="1" ht="15.75" customHeight="1"/>
    <x:row r="23" s="47" customFormat="1" ht="15.75" customHeight="1"/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2:F2"/>
    <x:mergeCell ref="A1:F1"/>
    <x:mergeCell ref="A3:D3"/>
    <x:mergeCell ref="A9:F9"/>
  </x:mergeCells>
  <x:pageMargins left="0.7" right="0.7" top="0.75" bottom="0.75" header="0.3" footer="0.3"/>
  <x:legacyDrawing xmlns:r="http://schemas.openxmlformats.org/officeDocument/2006/relationships" r:id="R1bcce91cf9d24b4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4" style="47" customWidth="1"/>
    <x:col min="2" max="5" width="14" style="47" customWidth="1"/>
    <x:col min="6" max="6" width="16" style="47" customWidth="1"/>
    <x:col min="7" max="26" width="8.710000038146973" style="47" customWidth="1"/>
  </x:cols>
  <x:sheetData>
    <x:row r="1">
      <x:c r="A1" s="48" t="inlineStr">
        <x:is>
          <x:t xml:space="preserve">Cash Flow</x:t>
        </x:is>
      </x:c>
    </x:row>
    <x:row r="2">
      <x:c r="A2" s="49" t="inlineStr">
        <x:is>
          <x:t xml:space="preserve">Quarterly cash flow structure for the dashboard cash flow tab.</x:t>
        </x:is>
      </x:c>
    </x:row>
    <x:row r="3">
      <x:c r="A3" s="50" t="inlineStr">
        <x:is>
          <x:t xml:space="preserve">KPI Cards</x:t>
        </x:is>
      </x:c>
    </x:row>
    <x:row r="4">
      <x:c r="A4" s="30" t="inlineStr">
        <x:is>
          <x:t xml:space="preserve">KPI</x:t>
        </x:is>
      </x:c>
      <x:c r="B4" s="30" t="inlineStr">
        <x:is>
          <x:t xml:space="preserve">Value</x:t>
        </x:is>
      </x:c>
      <x:c r="C4" s="30" t="inlineStr">
        <x:is>
          <x:t xml:space="preserve">Unit</x:t>
        </x:is>
      </x:c>
      <x:c r="D4" s="30" t="inlineStr">
        <x:is>
          <x:t xml:space="preserve">Source</x:t>
        </x:is>
      </x:c>
    </x:row>
    <x:row r="5">
      <x:c r="A5" s="31" t="inlineStr">
        <x:is>
          <x:t xml:space="preserve">Opening Balance</x:t>
        </x:is>
      </x:c>
      <x:c r="B5" s="16">
        <x:f>B11</x:f>
        <x:v>581455</x:v>
      </x:c>
      <x:c r="C5" s="33" t="inlineStr">
        <x:is>
          <x:t xml:space="preserve">SAR</x:t>
        </x:is>
      </x:c>
      <x:c r="D5" s="33" t="inlineStr">
        <x:is>
          <x:t xml:space="preserve">Opening cash at start of year</x:t>
        </x:is>
      </x:c>
    </x:row>
    <x:row r="6">
      <x:c r="A6" s="31" t="inlineStr">
        <x:is>
          <x:t xml:space="preserve">Total Cash Inflow</x:t>
        </x:is>
      </x:c>
      <x:c r="B6" s="16">
        <x:f>F14</x:f>
        <x:v>2213343.75</x:v>
      </x:c>
      <x:c r="C6" s="33" t="inlineStr">
        <x:is>
          <x:t xml:space="preserve">SAR</x:t>
        </x:is>
      </x:c>
      <x:c r="D6" s="33" t="inlineStr">
        <x:is>
          <x:t xml:space="preserve">Year total collections</x:t>
        </x:is>
      </x:c>
    </x:row>
    <x:row r="7">
      <x:c r="A7" s="31" t="inlineStr">
        <x:is>
          <x:t xml:space="preserve">Total Cash Outflow</x:t>
        </x:is>
      </x:c>
      <x:c r="B7" s="16">
        <x:f>F15+F16</x:f>
        <x:v>-4891206.4399999995</x:v>
      </x:c>
      <x:c r="C7" s="33" t="inlineStr">
        <x:is>
          <x:t xml:space="preserve">SAR</x:t>
        </x:is>
      </x:c>
      <x:c r="D7" s="33" t="inlineStr">
        <x:is>
          <x:t xml:space="preserve">Cost of revenue + G&amp;A expenses</x:t>
        </x:is>
      </x:c>
    </x:row>
    <x:row r="8">
      <x:c r="A8" s="31" t="inlineStr">
        <x:is>
          <x:t xml:space="preserve">Closing Balance</x:t>
        </x:is>
      </x:c>
      <x:c r="B8" s="16">
        <x:f>F18</x:f>
        <x:v>-2096407.69</x:v>
      </x:c>
      <x:c r="C8" s="33" t="inlineStr">
        <x:is>
          <x:t xml:space="preserve">SAR</x:t>
        </x:is>
      </x:c>
      <x:c r="D8" s="33" t="inlineStr">
        <x:is>
          <x:t xml:space="preserve">Year-end closing cash position</x:t>
        </x:is>
      </x:c>
    </x:row>
    <x:row r="9">
      <x:c r="A9" s="50" t="inlineStr">
        <x:is>
          <x:t xml:space="preserve">Cash Flow Summary — Quarterly 2026</x:t>
        </x:is>
      </x:c>
    </x:row>
    <x:row r="10">
      <x:c r="A10" s="30" t="inlineStr">
        <x:is>
          <x:t xml:space="preserve">Description</x:t>
        </x:is>
      </x:c>
      <x:c r="B10" s="30" t="inlineStr">
        <x:is>
          <x:t xml:space="preserve">Q1</x:t>
        </x:is>
      </x:c>
      <x:c r="C10" s="30" t="inlineStr">
        <x:is>
          <x:t xml:space="preserve">Q2</x:t>
        </x:is>
      </x:c>
      <x:c r="D10" s="30" t="inlineStr">
        <x:is>
          <x:t xml:space="preserve">Q3</x:t>
        </x:is>
      </x:c>
      <x:c r="E10" s="30" t="inlineStr">
        <x:is>
          <x:t xml:space="preserve">Q4</x:t>
        </x:is>
      </x:c>
      <x:c r="F10" s="30" t="inlineStr">
        <x:is>
          <x:t xml:space="preserve">Year 2026</x:t>
        </x:is>
      </x:c>
    </x:row>
    <x:row r="11">
      <x:c r="A11" s="31" t="inlineStr">
        <x:is>
          <x:t xml:space="preserve">Opening Balance</x:t>
        </x:is>
      </x:c>
      <x:c r="B11" s="38" t="n">
        <x:v>581455</x:v>
      </x:c>
      <x:c r="C11" s="24">
        <x:f>B18</x:f>
        <x:v>-86220.68999999994</x:v>
      </x:c>
      <x:c r="D11" s="24">
        <x:f>C18</x:f>
        <x:v>-969255.69</x:v>
      </x:c>
      <x:c r="E11" s="24">
        <x:f>D18</x:f>
        <x:v>-1652946.94</x:v>
      </x:c>
      <x:c r="F11" s="41">
        <x:f>B11</x:f>
        <x:v>581455</x:v>
      </x:c>
    </x:row>
    <x:row r="12">
      <x:c r="A12" s="31" t="inlineStr">
        <x:is>
          <x:t xml:space="preserve">Advisory Collections</x:t>
        </x:is>
      </x:c>
      <x:c r="B12" s="38" t="n">
        <x:v>0</x:v>
      </x:c>
      <x:c r="C12" s="38" t="n">
        <x:v>30000</x:v>
      </x:c>
      <x:c r="D12" s="38" t="n">
        <x:v>421125</x:v>
      </x:c>
      <x:c r="E12" s="38" t="n">
        <x:v>778182.87</x:v>
      </x:c>
      <x:c r="F12" s="38">
        <x:f>SUM(B12:E12)</x:f>
        <x:v>1229307.87</x:v>
      </x:c>
    </x:row>
    <x:row r="13">
      <x:c r="A13" s="31" t="inlineStr">
        <x:is>
          <x:t xml:space="preserve">Training Collections</x:t>
        </x:is>
      </x:c>
      <x:c r="B13" s="38" t="n">
        <x:v>0</x:v>
      </x:c>
      <x:c r="C13" s="38" t="n">
        <x:v>248000</x:v>
      </x:c>
      <x:c r="D13" s="38" t="n">
        <x:v>296375</x:v>
      </x:c>
      <x:c r="E13" s="38" t="n">
        <x:v>439660.88</x:v>
      </x:c>
      <x:c r="F13" s="38">
        <x:f>SUM(B13:E13)</x:f>
        <x:v>984035.88</x:v>
      </x:c>
    </x:row>
    <x:row r="14">
      <x:c r="A14" s="31" t="inlineStr">
        <x:is>
          <x:t xml:space="preserve">Total Cash Inflow</x:t>
        </x:is>
      </x:c>
      <x:c r="B14" s="41">
        <x:f>B12+B13</x:f>
        <x:v>0</x:v>
      </x:c>
      <x:c r="C14" s="41">
        <x:f>C12+C13</x:f>
        <x:v>278000</x:v>
      </x:c>
      <x:c r="D14" s="41">
        <x:f>D12+D13</x:f>
        <x:v>717500</x:v>
      </x:c>
      <x:c r="E14" s="41">
        <x:f>E12+E13</x:f>
        <x:v>1217843.75</x:v>
      </x:c>
      <x:c r="F14" s="41">
        <x:f>SUM(B14:E14)</x:f>
        <x:v>2213343.75</x:v>
      </x:c>
    </x:row>
    <x:row r="15">
      <x:c r="A15" s="31" t="inlineStr">
        <x:is>
          <x:t xml:space="preserve">Cost of Revenue</x:t>
        </x:is>
      </x:c>
      <x:c r="B15" s="24">
        <x:f>Financial_Overview!B12</x:f>
        <x:v>0</x:v>
      </x:c>
      <x:c r="C15" s="24">
        <x:f>Financial_Overview!C12</x:f>
        <x:v>-336000</x:v>
      </x:c>
      <x:c r="D15" s="24">
        <x:f>Financial_Overview!D12</x:f>
        <x:v>-626156.25</x:v>
      </x:c>
      <x:c r="E15" s="24">
        <x:f>Financial_Overview!E12</x:f>
        <x:v>-866269.5</x:v>
      </x:c>
      <x:c r="F15" s="24">
        <x:f>SUM(B15:E15)</x:f>
        <x:v>-1828425.75</x:v>
      </x:c>
    </x:row>
    <x:row r="16">
      <x:c r="A16" s="31" t="inlineStr">
        <x:is>
          <x:t xml:space="preserve">G&amp;A Expenses</x:t>
        </x:is>
      </x:c>
      <x:c r="B16" s="24" t="n">
        <x:v>-667675.6899999999</x:v>
      </x:c>
      <x:c r="C16" s="24">
        <x:f>Financial_Overview!C15</x:f>
        <x:v>-825035</x:v>
      </x:c>
      <x:c r="D16" s="24">
        <x:f>Financial_Overview!D15</x:f>
        <x:v>-775035</x:v>
      </x:c>
      <x:c r="E16" s="24">
        <x:f>Financial_Overview!E15</x:f>
        <x:v>-795035</x:v>
      </x:c>
      <x:c r="F16" s="24">
        <x:f>SUM(B16:E16)</x:f>
        <x:v>-3062780.69</x:v>
      </x:c>
    </x:row>
    <x:row r="17">
      <x:c r="A17" s="31" t="inlineStr">
        <x:is>
          <x:t xml:space="preserve">Net Cash Flow</x:t>
        </x:is>
      </x:c>
      <x:c r="B17" s="41">
        <x:f>B14+B15+B16</x:f>
        <x:v>-667675.69</x:v>
      </x:c>
      <x:c r="C17" s="41">
        <x:f>C14+C15+C16</x:f>
        <x:v>-883035</x:v>
      </x:c>
      <x:c r="D17" s="41">
        <x:f>D14+D15+D16</x:f>
        <x:v>-683691.25</x:v>
      </x:c>
      <x:c r="E17" s="41">
        <x:f>E14+E15+E16</x:f>
        <x:v>-443460.75</x:v>
      </x:c>
      <x:c r="F17" s="41">
        <x:f>SUM(B17:E17)</x:f>
        <x:v>-2677862.69</x:v>
      </x:c>
    </x:row>
    <x:row r="18">
      <x:c r="A18" s="31" t="inlineStr">
        <x:is>
          <x:t xml:space="preserve">Closing Balance</x:t>
        </x:is>
      </x:c>
      <x:c r="B18" s="41">
        <x:f>B11+B17</x:f>
        <x:v>-86220.68999999994</x:v>
      </x:c>
      <x:c r="C18" s="41">
        <x:f>C11+C17</x:f>
        <x:v>-969255.69</x:v>
      </x:c>
      <x:c r="D18" s="41">
        <x:f>D11+D17</x:f>
        <x:v>-1652946.94</x:v>
      </x:c>
      <x:c r="E18" s="41">
        <x:f>E11+E17</x:f>
        <x:v>-2096407.69</x:v>
      </x:c>
      <x:c r="F18" s="41">
        <x:f>E18</x:f>
        <x:v>-2096407.69</x:v>
      </x:c>
    </x:row>
    <x:row r="19">
      <x:c r="A19" s="31" t="inlineStr">
        <x:is>
          <x:t xml:space="preserve">Cash Injection Required</x:t>
        </x:is>
      </x:c>
      <x:c r="B19" s="41">
        <x:f>IF(B18&lt;0,B18,0)</x:f>
        <x:v>-86220.68999999994</x:v>
      </x:c>
      <x:c r="C19" s="41">
        <x:f>IF(C18&lt;0,C18,0)</x:f>
        <x:v>-969255.69</x:v>
      </x:c>
      <x:c r="D19" s="41">
        <x:f>IF(D18&lt;0,D18,0)</x:f>
        <x:v>-1652946.94</x:v>
      </x:c>
      <x:c r="E19" s="41">
        <x:f>IF(E18&lt;0,E18,0)</x:f>
        <x:v>-2096407.69</x:v>
      </x:c>
      <x:c r="F19" s="41">
        <x:f>MIN(F18,0)</x:f>
        <x:v>-2096407.69</x:v>
      </x:c>
    </x:row>
    <x:row r="21" s="47" customFormat="1" ht="15.75" customHeight="1"/>
    <x:row r="22" s="47" customFormat="1" ht="15.75" customHeight="1"/>
    <x:row r="23" s="47" customFormat="1" ht="15.75" customHeight="1"/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2:F2"/>
    <x:mergeCell ref="A1:F1"/>
    <x:mergeCell ref="A3:D3"/>
    <x:mergeCell ref="A9:F9"/>
  </x:mergeCells>
  <x:pageMargins left="0.7" right="0.7" top="0.75" bottom="0.75" header="0.3" footer="0.3"/>
  <x:legacyDrawing xmlns:r="http://schemas.openxmlformats.org/officeDocument/2006/relationships" r:id="Raa0fbd90f6ca4dd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8" style="47" customWidth="1"/>
    <x:col min="2" max="2" width="90" style="47" customWidth="1"/>
    <x:col min="3" max="3" width="35" style="47" customWidth="1"/>
    <x:col min="4" max="4" width="8.710000038146973" style="47" customWidth="1"/>
    <x:col min="5" max="6" width="18" style="47" customWidth="1"/>
    <x:col min="7" max="7" width="12" style="47" customWidth="1"/>
    <x:col min="8" max="26" width="8.710000038146973" style="47" customWidth="1"/>
  </x:cols>
  <x:sheetData>
    <x:row r="1">
      <x:c r="A1" s="48" t="inlineStr">
        <x:is>
          <x:t xml:space="preserve">Strategy &amp; Operations</x:t>
        </x:is>
      </x:c>
    </x:row>
    <x:row r="2">
      <x:c r="A2" s="49" t="inlineStr">
        <x:is>
          <x:t xml:space="preserve">Narrative content and revenue mix for the strategy tab.</x:t>
        </x:is>
      </x:c>
    </x:row>
    <x:row r="3">
      <x:c r="A3" s="50" t="inlineStr">
        <x:is>
          <x:t xml:space="preserve">Mission / Context</x:t>
        </x:is>
      </x:c>
    </x:row>
    <x:row r="4">
      <x:c r="A4" s="30" t="inlineStr">
        <x:is>
          <x:t xml:space="preserve">Section</x:t>
        </x:is>
      </x:c>
      <x:c r="B4" s="30" t="inlineStr">
        <x:is>
          <x:t xml:space="preserve">Content</x:t>
        </x:is>
      </x:c>
    </x:row>
    <x:row r="5">
      <x:c r="A5" s="31" t="inlineStr">
        <x:is>
          <x:t xml:space="preserve">Operation Motive in Saudi Society</x:t>
        </x:is>
      </x:c>
      <x:c r="B5" s="42" t="inlineStr">
        <x:is>
          <x:t xml:space="preserve">Supporting community welfare and social development — encouraging volunteerism and community participation. Contributing to national development goals aligned with Saudi Vision 2030, promoting transparency and accountability under the National Center for Non-Profit Sector.</x:t>
        </x:is>
      </x:c>
    </x:row>
    <x:row r="7">
      <x:c r="A7" s="50" t="inlineStr">
        <x:is>
          <x:t xml:space="preserve">Service Pillars</x:t>
        </x:is>
      </x:c>
    </x:row>
    <x:row r="8">
      <x:c r="A8" s="30" t="inlineStr">
        <x:is>
          <x:t xml:space="preserve">Pillar</x:t>
        </x:is>
      </x:c>
      <x:c r="B8" s="30" t="inlineStr">
        <x:is>
          <x:t xml:space="preserve">Description</x:t>
        </x:is>
      </x:c>
      <x:c r="E8" s="25" t="inlineStr">
        <x:is>
          <x:t xml:space="preserve">Category</x:t>
        </x:is>
      </x:c>
      <x:c r="F8" s="25" t="inlineStr">
        <x:is>
          <x:t xml:space="preserve">Revenue (SAR)</x:t>
        </x:is>
      </x:c>
      <x:c r="G8" s="25" t="inlineStr">
        <x:is>
          <x:t xml:space="preserve">Share</x:t>
        </x:is>
      </x:c>
    </x:row>
    <x:row r="9">
      <x:c r="A9" s="31" t="inlineStr">
        <x:is>
          <x:t xml:space="preserve">Advisory Services</x:t>
        </x:is>
      </x:c>
      <x:c r="B9" s="42" t="inlineStr">
        <x:is>
          <x:t xml:space="preserve">Strategic advisory for government and non-government sectors — regulatory compliance, public programs, and partnerships</x:t>
        </x:is>
      </x:c>
      <x:c r="E9" s="5" t="inlineStr">
        <x:is>
          <x:t xml:space="preserve">Advisory</x:t>
        </x:is>
      </x:c>
      <x:c r="F9" s="26">
        <x:f>SUM(Pipeline_Revenue!B11:B22)</x:f>
        <x:v>1828426</x:v>
      </x:c>
      <x:c r="G9" s="27">
        <x:f>IFERROR(F9/SUM(F9:F10),0)</x:f>
        <x:v>0.5999997374792363</x:v>
      </x:c>
    </x:row>
    <x:row r="10">
      <x:c r="A10" s="31" t="inlineStr">
        <x:is>
          <x:t xml:space="preserve">Training Courses</x:t>
        </x:is>
      </x:c>
      <x:c r="B10" s="42" t="inlineStr">
        <x:is>
          <x:t xml:space="preserve">Specialized training programs tailored for institutional and private sector capacity building</x:t>
        </x:is>
      </x:c>
      <x:c r="E10" s="5" t="inlineStr">
        <x:is>
          <x:t xml:space="preserve">Training</x:t>
        </x:is>
      </x:c>
      <x:c r="F10" s="26">
        <x:f>SUM(Pipeline_Revenue!C11:C22)</x:f>
        <x:v>1218952</x:v>
      </x:c>
      <x:c r="G10" s="27">
        <x:f>IFERROR(F10/SUM(F9:F10),0)</x:f>
        <x:v>0.40000026252076376</x:v>
      </x:c>
    </x:row>
    <x:row r="11">
      <x:c r="A11" s="5" t="inlineStr">
        <x:is>
          <x:t xml:space="preserve">Innovation &amp; Technology</x:t>
        </x:is>
      </x:c>
      <x:c r="B11" s="15" t="inlineStr">
        <x:is>
          <x:t xml:space="preserve">Scalable, compliant, and innovative technology-driven solutions for social impact</x:t>
        </x:is>
      </x:c>
    </x:row>
    <x:row r="12">
      <x:c r="A12" s="50" t="inlineStr">
        <x:is>
          <x:t xml:space="preserve">Target Sectors</x:t>
        </x:is>
      </x:c>
    </x:row>
    <x:row r="13">
      <x:c r="A13" s="30" t="inlineStr">
        <x:is>
          <x:t xml:space="preserve">Sector</x:t>
        </x:is>
      </x:c>
      <x:c r="B13" s="30" t="inlineStr">
        <x:is>
          <x:t xml:space="preserve">Key Point 1</x:t>
        </x:is>
      </x:c>
      <x:c r="C13" s="30" t="inlineStr">
        <x:is>
          <x:t xml:space="preserve">Key Point 2</x:t>
        </x:is>
      </x:c>
    </x:row>
    <x:row r="14">
      <x:c r="A14" s="12" t="inlineStr">
        <x:is>
          <x:t xml:space="preserve">Government Sector</x:t>
        </x:is>
      </x:c>
      <x:c r="B14" s="42" t="inlineStr">
        <x:is>
          <x:t xml:space="preserve">Training, advisory, and innovation support to government institutions</x:t>
        </x:is>
      </x:c>
      <x:c r="C14" s="42" t="inlineStr">
        <x:is>
          <x:t xml:space="preserve">Leverage regulatory compliance, public sector programs, and government partnerships</x:t>
        </x:is>
      </x:c>
    </x:row>
    <x:row r="15">
      <x:c r="A15" s="12" t="inlineStr">
        <x:is>
          <x:t xml:space="preserve">Non-Government Sector</x:t>
        </x:is>
      </x:c>
      <x:c r="B15" s="42" t="inlineStr">
        <x:is>
          <x:t xml:space="preserve">Engage NGOs, private foundations, and social enterprises</x:t>
        </x:is>
      </x:c>
      <x:c r="C15" s="42" t="inlineStr">
        <x:is>
          <x:t xml:space="preserve">Tailored programs in advisory, innovation, and technology services</x:t>
        </x:is>
      </x:c>
    </x:row>
    <x:row r="17">
      <x:c r="A17" s="50" t="inlineStr">
        <x:is>
          <x:t xml:space="preserve">Action Plan &amp; Goals</x:t>
        </x:is>
      </x:c>
    </x:row>
    <x:row r="18">
      <x:c r="A18" s="30" t="inlineStr">
        <x:is>
          <x:t xml:space="preserve">Type</x:t>
        </x:is>
      </x:c>
      <x:c r="B18" s="30" t="inlineStr">
        <x:is>
          <x:t xml:space="preserve">Detail</x:t>
        </x:is>
      </x:c>
    </x:row>
    <x:row r="19">
      <x:c r="A19" s="31" t="inlineStr">
        <x:is>
          <x:t xml:space="preserve">Approach 1</x:t>
        </x:is>
      </x:c>
      <x:c r="B19" s="42" t="inlineStr">
        <x:is>
          <x:t xml:space="preserve">Map key government agencies and NGOs aligned with mission</x:t>
        </x:is>
      </x:c>
    </x:row>
    <x:row r="20">
      <x:c r="A20" s="31" t="inlineStr">
        <x:is>
          <x:t xml:space="preserve">Approach 2</x:t>
        </x:is>
      </x:c>
      <x:c r="B20" s="42" t="inlineStr">
        <x:is>
          <x:t xml:space="preserve">Develop sector-specific solutions and service packages</x:t>
        </x:is>
      </x:c>
    </x:row>
    <x:row r="21" s="47" customFormat="1" ht="15.75" customHeight="1">
      <x:c r="A21" s="31" t="inlineStr">
        <x:is>
          <x:t xml:space="preserve">Approach 3</x:t>
        </x:is>
      </x:c>
      <x:c r="B21" s="42" t="inlineStr">
        <x:is>
          <x:t xml:space="preserve">Strengthen relationships via workshops, consultations, and pilot projects</x:t>
        </x:is>
      </x:c>
    </x:row>
    <x:row r="22" s="47" customFormat="1" ht="15.75" customHeight="1">
      <x:c r="A22" s="31" t="inlineStr">
        <x:is>
          <x:t xml:space="preserve">Goal 1</x:t>
        </x:is>
      </x:c>
      <x:c r="B22" s="42" t="inlineStr">
        <x:is>
          <x:t xml:space="preserve">Position as a trusted partner for both government and non-government sectors</x:t>
        </x:is>
      </x:c>
    </x:row>
    <x:row r="23" s="47" customFormat="1" ht="15.75" customHeight="1">
      <x:c r="A23" s="31" t="inlineStr">
        <x:is>
          <x:t xml:space="preserve">Goal 2</x:t>
        </x:is>
      </x:c>
      <x:c r="B23" s="42" t="inlineStr">
        <x:is>
          <x:t xml:space="preserve">Expand reach, credibility, and impact by year-end</x:t>
        </x:is>
      </x:c>
    </x:row>
    <x:row r="24" s="47" customFormat="1" ht="15.75" customHeight="1"/>
    <x:row r="25" s="47" customFormat="1" ht="15.75" customHeight="1">
      <x:c r="A25" s="50" t="inlineStr">
        <x:is>
          <x:t xml:space="preserve">Value Proposition</x:t>
        </x:is>
      </x:c>
    </x:row>
    <x:row r="26" s="47" customFormat="1" ht="15.75" customHeight="1">
      <x:c r="A26" s="30" t="inlineStr">
        <x:is>
          <x:t xml:space="preserve">Item</x:t>
        </x:is>
      </x:c>
      <x:c r="B26" s="30" t="inlineStr">
        <x:is>
          <x:t xml:space="preserve">Detail</x:t>
        </x:is>
      </x:c>
    </x:row>
    <x:row r="27" s="47" customFormat="1" ht="15.75" customHeight="1">
      <x:c r="A27" s="31" t="inlineStr">
        <x:is>
          <x:t xml:space="preserve">Value Proposition 1</x:t>
        </x:is>
      </x:c>
      <x:c r="B27" s="42" t="inlineStr">
        <x:is>
          <x:t xml:space="preserve">Act as a bridge between government initiatives and community/non-profit impact</x:t>
        </x:is>
      </x:c>
    </x:row>
    <x:row r="28" s="47" customFormat="1" ht="15.75" customHeight="1">
      <x:c r="A28" s="31" t="inlineStr">
        <x:is>
          <x:t xml:space="preserve">Value Proposition 2</x:t>
        </x:is>
      </x:c>
      <x:c r="B28" s="42" t="inlineStr">
        <x:is>
          <x:t xml:space="preserve">Provide specialized services that are compliant, innovative, and scalable</x:t>
        </x:is>
      </x:c>
    </x:row>
    <x:row r="29" s="47" customFormat="1" ht="15.75" customHeight="1">
      <x:c r="A29" s="31" t="inlineStr">
        <x:is>
          <x:t xml:space="preserve">Value Proposition 3</x:t>
        </x:is>
      </x:c>
      <x:c r="B29" s="42" t="inlineStr">
        <x:is>
          <x:t xml:space="preserve">Advisory drives 60% of revenue — high-margin strategic consulting</x:t>
        </x:is>
      </x:c>
    </x:row>
    <x:row r="30" s="47" customFormat="1" ht="15.75" customHeight="1">
      <x:c r="A30" s="31" t="inlineStr">
        <x:is>
          <x:t xml:space="preserve">Value Proposition 4</x:t>
        </x:is>
      </x:c>
      <x:c r="B30" s="42" t="inlineStr">
        <x:is>
          <x:t xml:space="preserve">Training at 40% — scalable capacity building with recurring revenue potential</x:t>
        </x:is>
      </x:c>
    </x:row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1:G1"/>
    <x:mergeCell ref="A7:B7"/>
    <x:mergeCell ref="A25:B25"/>
    <x:mergeCell ref="A2:G2"/>
    <x:mergeCell ref="A17:B17"/>
    <x:mergeCell ref="A12:C12"/>
    <x:mergeCell ref="A3:B3"/>
  </x:mergeCells>
  <x:pageMargins left="0.7" right="0.7" top="0.75" bottom="0.75" header="0.3" footer="0.3"/>
  <x:legacyDrawing xmlns:r="http://schemas.openxmlformats.org/officeDocument/2006/relationships" r:id="Rc72cc2193ac44f4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4" style="47" customWidth="1"/>
    <x:col min="2" max="2" width="16.290000915527344" style="47" customWidth="1"/>
    <x:col min="3" max="6" width="16" style="47" customWidth="1"/>
    <x:col min="7" max="7" width="24" style="47" customWidth="1"/>
    <x:col min="8" max="8" width="18" style="47" customWidth="1"/>
    <x:col min="9" max="9" width="24" style="47" customWidth="1"/>
    <x:col min="10" max="26" width="8.710000038146973" style="47" customWidth="1"/>
  </x:cols>
  <x:sheetData>
    <x:row r="1">
      <x:c r="A1" s="48" t="inlineStr">
        <x:is>
          <x:t xml:space="preserve">Pipeline &amp; Revenue</x:t>
        </x:is>
      </x:c>
    </x:row>
    <x:row r="2">
      <x:c r="A2" s="49" t="inlineStr">
        <x:is>
          <x:t xml:space="preserve">Active pipeline, monthly revenue ramp, and collection schedule.</x:t>
        </x:is>
      </x:c>
    </x:row>
    <x:row r="3">
      <x:c r="A3" s="50" t="inlineStr">
        <x:is>
          <x:t xml:space="preserve">Summary KPIs</x:t>
        </x:is>
      </x:c>
    </x:row>
    <x:row r="4">
      <x:c r="A4" s="30" t="inlineStr">
        <x:is>
          <x:t xml:space="preserve">Metric</x:t>
        </x:is>
      </x:c>
      <x:c r="B4" s="30" t="inlineStr">
        <x:is>
          <x:t xml:space="preserve">Value</x:t>
        </x:is>
      </x:c>
      <x:c r="C4" s="30" t="inlineStr">
        <x:is>
          <x:t xml:space="preserve">Note</x:t>
        </x:is>
      </x:c>
    </x:row>
    <x:row r="5">
      <x:c r="A5" s="31" t="inlineStr">
        <x:is>
          <x:t xml:space="preserve">Total Revenue Pipeline 2026</x:t>
        </x:is>
      </x:c>
      <x:c r="B5" s="41">
        <x:f>SUM(D11:D22)</x:f>
        <x:v>3047378</x:v>
      </x:c>
      <x:c r="C5" s="42" t="inlineStr">
        <x:is>
          <x:t xml:space="preserve">Formula from monthly revenue ramp</x:t>
        </x:is>
      </x:c>
    </x:row>
    <x:row r="6">
      <x:c r="A6" s="31" t="inlineStr">
        <x:is>
          <x:t xml:space="preserve">Proposals Q1–Q2 2026</x:t>
        </x:is>
      </x:c>
      <x:c r="B6" s="38" t="n">
        <x:v>2100000</x:v>
      </x:c>
      <x:c r="C6" s="42" t="inlineStr">
        <x:is>
          <x:t xml:space="preserve">Manual source from current dashboard</x:t>
        </x:is>
      </x:c>
    </x:row>
    <x:row r="7">
      <x:c r="A7" s="5" t="inlineStr">
        <x:is>
          <x:t xml:space="preserve">Active Proposals</x:t>
        </x:is>
      </x:c>
      <x:c r="B7" s="28">
        <x:f>COUNTA(G11:G19)</x:f>
        <x:v>9</x:v>
      </x:c>
      <x:c r="C7" s="15" t="inlineStr">
        <x:is>
          <x:t xml:space="preserve">Count of active proposal rows</x:t>
        </x:is>
      </x:c>
    </x:row>
    <x:row r="9">
      <x:c r="A9" s="50" t="inlineStr">
        <x:is>
          <x:t xml:space="preserve">Monthly Revenue Ramp 2026</x:t>
        </x:is>
      </x:c>
    </x:row>
    <x:row r="10">
      <x:c r="A10" s="30" t="inlineStr">
        <x:is>
          <x:t xml:space="preserve">Month</x:t>
        </x:is>
      </x:c>
      <x:c r="B10" s="30" t="inlineStr">
        <x:is>
          <x:t xml:space="preserve">Advisory Revenue</x:t>
        </x:is>
      </x:c>
      <x:c r="C10" s="30" t="inlineStr">
        <x:is>
          <x:t xml:space="preserve">Training Revenue</x:t>
        </x:is>
      </x:c>
      <x:c r="D10" s="30" t="inlineStr">
        <x:is>
          <x:t xml:space="preserve">Total Revenue</x:t>
        </x:is>
      </x:c>
      <x:c r="E10" s="30" t="inlineStr">
        <x:is>
          <x:t xml:space="preserve">Quarter</x:t>
        </x:is>
      </x:c>
      <x:c r="G10" s="25" t="inlineStr">
        <x:is>
          <x:t xml:space="preserve">Client</x:t>
        </x:is>
      </x:c>
      <x:c r="H10" s="25" t="inlineStr">
        <x:is>
          <x:t xml:space="preserve">Proposal Value (SAR)</x:t>
        </x:is>
      </x:c>
      <x:c r="I10" s="25" t="inlineStr">
        <x:is>
          <x:t xml:space="preserve">Notes</x:t>
        </x:is>
      </x:c>
    </x:row>
    <x:row r="11">
      <x:c r="A11" s="31" t="inlineStr">
        <x:is>
          <x:t xml:space="preserve">Jan</x:t>
        </x:is>
      </x:c>
      <x:c r="B11" s="38" t="n">
        <x:v>0</x:v>
      </x:c>
      <x:c r="C11" s="38" t="n">
        <x:v>0</x:v>
      </x:c>
      <x:c r="D11" s="41">
        <x:f>B11+C11</x:f>
        <x:v>0</x:v>
      </x:c>
      <x:c r="E11" s="33" t="inlineStr">
        <x:is>
          <x:t xml:space="preserve">Q1</x:t>
        </x:is>
      </x:c>
      <x:c r="G11" s="5" t="inlineStr">
        <x:is>
          <x:t xml:space="preserve">NADEC</x:t>
        </x:is>
      </x:c>
      <x:c r="H11" s="29" t="n">
        <x:v>500000</x:v>
      </x:c>
      <x:c r="I11" s="6" t="inlineStr">
        <x:is>
          <x:t xml:space="preserve">Current dashboard item</x:t>
        </x:is>
      </x:c>
    </x:row>
    <x:row r="12">
      <x:c r="A12" s="31" t="inlineStr">
        <x:is>
          <x:t xml:space="preserve">Feb</x:t>
        </x:is>
      </x:c>
      <x:c r="B12" s="38" t="n">
        <x:v>0</x:v>
      </x:c>
      <x:c r="C12" s="38" t="n">
        <x:v>0</x:v>
      </x:c>
      <x:c r="D12" s="41">
        <x:f>B12+C12</x:f>
        <x:v>0</x:v>
      </x:c>
      <x:c r="E12" s="33" t="inlineStr">
        <x:is>
          <x:t xml:space="preserve">Q1</x:t>
        </x:is>
      </x:c>
      <x:c r="G12" s="5" t="inlineStr">
        <x:is>
          <x:t xml:space="preserve">MEP</x:t>
        </x:is>
      </x:c>
      <x:c r="H12" s="29" t="n">
        <x:v>500000</x:v>
      </x:c>
      <x:c r="I12" s="6" t="inlineStr">
        <x:is>
          <x:t xml:space="preserve">Current dashboard item</x:t>
        </x:is>
      </x:c>
    </x:row>
    <x:row r="13">
      <x:c r="A13" s="31" t="inlineStr">
        <x:is>
          <x:t xml:space="preserve">Mar</x:t>
        </x:is>
      </x:c>
      <x:c r="B13" s="38" t="n">
        <x:v>0</x:v>
      </x:c>
      <x:c r="C13" s="38" t="n">
        <x:v>30000</x:v>
      </x:c>
      <x:c r="D13" s="41">
        <x:f>B13+C13</x:f>
        <x:v>30000</x:v>
      </x:c>
      <x:c r="E13" s="33" t="inlineStr">
        <x:is>
          <x:t xml:space="preserve">Q1</x:t>
        </x:is>
      </x:c>
      <x:c r="G13" s="5" t="inlineStr">
        <x:is>
          <x:t xml:space="preserve">ITQAN ESG</x:t>
        </x:is>
      </x:c>
      <x:c r="H13" s="29" t="n">
        <x:v>350000</x:v>
      </x:c>
      <x:c r="I13" s="6" t="inlineStr">
        <x:is>
          <x:t xml:space="preserve">Current dashboard item</x:t>
        </x:is>
      </x:c>
    </x:row>
    <x:row r="14">
      <x:c r="A14" s="31" t="inlineStr">
        <x:is>
          <x:t xml:space="preserve">Apr</x:t>
        </x:is>
      </x:c>
      <x:c r="B14" s="38" t="n">
        <x:v>0</x:v>
      </x:c>
      <x:c r="C14" s="38" t="n">
        <x:v>90000</x:v>
      </x:c>
      <x:c r="D14" s="41">
        <x:f>B14+C14</x:f>
        <x:v>90000</x:v>
      </x:c>
      <x:c r="E14" s="33" t="inlineStr">
        <x:is>
          <x:t xml:space="preserve">Q2</x:t>
        </x:is>
      </x:c>
      <x:c r="G14" s="5" t="inlineStr">
        <x:is>
          <x:t xml:space="preserve">TADAWUL</x:t>
        </x:is>
      </x:c>
      <x:c r="H14" s="29" t="n">
        <x:v>330000</x:v>
      </x:c>
      <x:c r="I14" s="6" t="inlineStr">
        <x:is>
          <x:t xml:space="preserve">Current dashboard item</x:t>
        </x:is>
      </x:c>
    </x:row>
    <x:row r="15">
      <x:c r="A15" s="31" t="inlineStr">
        <x:is>
          <x:t xml:space="preserve">May</x:t>
        </x:is>
      </x:c>
      <x:c r="B15" s="38" t="n">
        <x:v>100000</x:v>
      </x:c>
      <x:c r="C15" s="38" t="n">
        <x:v>40000</x:v>
      </x:c>
      <x:c r="D15" s="41">
        <x:f>B15+C15</x:f>
        <x:v>140000</x:v>
      </x:c>
      <x:c r="E15" s="33" t="inlineStr">
        <x:is>
          <x:t xml:space="preserve">Q2</x:t>
        </x:is>
      </x:c>
      <x:c r="G15" s="5" t="inlineStr">
        <x:is>
          <x:t xml:space="preserve">MDL BEAST</x:t>
        </x:is>
      </x:c>
      <x:c r="H15" s="29" t="n">
        <x:v>220000</x:v>
      </x:c>
      <x:c r="I15" s="6" t="inlineStr">
        <x:is>
          <x:t xml:space="preserve">Current dashboard item</x:t>
        </x:is>
      </x:c>
    </x:row>
    <x:row r="16">
      <x:c r="A16" s="31" t="inlineStr">
        <x:is>
          <x:t xml:space="preserve">Jun</x:t>
        </x:is>
      </x:c>
      <x:c r="B16" s="38" t="n">
        <x:v>185000</x:v>
      </x:c>
      <x:c r="C16" s="38" t="n">
        <x:v>115000</x:v>
      </x:c>
      <x:c r="D16" s="41">
        <x:f>B16+C16</x:f>
        <x:v>300000</x:v>
      </x:c>
      <x:c r="E16" s="33" t="inlineStr">
        <x:is>
          <x:t xml:space="preserve">Q2</x:t>
        </x:is>
      </x:c>
      <x:c r="G16" s="5" t="inlineStr">
        <x:is>
          <x:t xml:space="preserve">OBEKAN</x:t>
        </x:is>
      </x:c>
      <x:c r="H16" s="29" t="n">
        <x:v>70000</x:v>
      </x:c>
      <x:c r="I16" s="6" t="inlineStr">
        <x:is>
          <x:t xml:space="preserve">Current dashboard item</x:t>
        </x:is>
      </x:c>
    </x:row>
    <x:row r="17">
      <x:c r="A17" s="31" t="inlineStr">
        <x:is>
          <x:t xml:space="preserve">Jul</x:t>
        </x:is>
      </x:c>
      <x:c r="B17" s="38" t="n">
        <x:v>136125</x:v>
      </x:c>
      <x:c r="C17" s="38" t="n">
        <x:v>111375</x:v>
      </x:c>
      <x:c r="D17" s="41">
        <x:f>B17+C17</x:f>
        <x:v>247500</x:v>
      </x:c>
      <x:c r="E17" s="33" t="inlineStr">
        <x:is>
          <x:t xml:space="preserve">Q3</x:t>
        </x:is>
      </x:c>
      <x:c r="G17" s="5" t="inlineStr">
        <x:is>
          <x:t xml:space="preserve">YAMAMA CEMENT</x:t>
        </x:is>
      </x:c>
      <x:c r="H17" s="29" t="n">
        <x:v>50000</x:v>
      </x:c>
      <x:c r="I17" s="6" t="inlineStr">
        <x:is>
          <x:t xml:space="preserve">Current dashboard item</x:t>
        </x:is>
      </x:c>
    </x:row>
    <x:row r="18">
      <x:c r="A18" s="31" t="inlineStr">
        <x:is>
          <x:t xml:space="preserve">Aug</x:t>
        </x:is>
      </x:c>
      <x:c r="B18" s="38" t="n">
        <x:v>170156</x:v>
      </x:c>
      <x:c r="C18" s="38" t="n">
        <x:v>139219</x:v>
      </x:c>
      <x:c r="D18" s="41">
        <x:f>B18+C18</x:f>
        <x:v>309375</x:v>
      </x:c>
      <x:c r="E18" s="33" t="inlineStr">
        <x:is>
          <x:t xml:space="preserve">Q3</x:t>
        </x:is>
      </x:c>
      <x:c r="G18" s="5" t="inlineStr">
        <x:is>
          <x:t xml:space="preserve">PIF — CFG</x:t>
        </x:is>
      </x:c>
      <x:c r="H18" s="29" t="n">
        <x:v>45000</x:v>
      </x:c>
      <x:c r="I18" s="6" t="inlineStr">
        <x:is>
          <x:t xml:space="preserve">Current dashboard item</x:t>
        </x:is>
      </x:c>
    </x:row>
    <x:row r="19">
      <x:c r="A19" s="31" t="inlineStr">
        <x:is>
          <x:t xml:space="preserve">Sep</x:t>
        </x:is>
      </x:c>
      <x:c r="B19" s="38" t="n">
        <x:v>331064</x:v>
      </x:c>
      <x:c r="C19" s="38" t="n">
        <x:v>155655</x:v>
      </x:c>
      <x:c r="D19" s="41">
        <x:f>B19+C19</x:f>
        <x:v>486719</x:v>
      </x:c>
      <x:c r="E19" s="33" t="inlineStr">
        <x:is>
          <x:t xml:space="preserve">Q3</x:t>
        </x:is>
      </x:c>
      <x:c r="G19" s="5" t="inlineStr">
        <x:is>
          <x:t xml:space="preserve">Financial Academy</x:t>
        </x:is>
      </x:c>
      <x:c r="H19" s="29" t="n">
        <x:v>30000</x:v>
      </x:c>
      <x:c r="I19" s="6" t="inlineStr">
        <x:is>
          <x:t xml:space="preserve">Current dashboard item</x:t>
        </x:is>
      </x:c>
    </x:row>
    <x:row r="20">
      <x:c r="A20" s="31" t="inlineStr">
        <x:is>
          <x:t xml:space="preserve">Oct</x:t>
        </x:is>
      </x:c>
      <x:c r="B20" s="38" t="n">
        <x:v>276963</x:v>
      </x:c>
      <x:c r="C20" s="38" t="n">
        <x:v>144788</x:v>
      </x:c>
      <x:c r="D20" s="41">
        <x:f>B20+C20</x:f>
        <x:v>421751</x:v>
      </x:c>
      <x:c r="E20" s="33" t="inlineStr">
        <x:is>
          <x:t xml:space="preserve">Q4</x:t>
        </x:is>
      </x:c>
      <x:c r="G20" s="5" t="inlineStr">
        <x:is>
          <x:t xml:space="preserve">Total</x:t>
        </x:is>
      </x:c>
      <x:c r="H20" s="28">
        <x:f>SUM(H11:H19)</x:f>
        <x:v>2095000</x:v>
      </x:c>
    </x:row>
    <x:row r="21" s="47" customFormat="1" ht="15.75" customHeight="1">
      <x:c r="A21" s="31" t="inlineStr">
        <x:is>
          <x:t xml:space="preserve">Nov</x:t>
        </x:is>
      </x:c>
      <x:c r="B21" s="38" t="n">
        <x:v>330051</x:v>
      </x:c>
      <x:c r="C21" s="38" t="n">
        <x:v>188224</x:v>
      </x:c>
      <x:c r="D21" s="41">
        <x:f>B21+C21</x:f>
        <x:v>518275</x:v>
      </x:c>
      <x:c r="E21" s="33" t="inlineStr">
        <x:is>
          <x:t xml:space="preserve">Q4</x:t>
        </x:is>
      </x:c>
    </x:row>
    <x:row r="22" s="47" customFormat="1" ht="15.75" customHeight="1">
      <x:c r="A22" s="31" t="inlineStr">
        <x:is>
          <x:t xml:space="preserve">Dec</x:t>
        </x:is>
      </x:c>
      <x:c r="B22" s="38" t="n">
        <x:v>299067</x:v>
      </x:c>
      <x:c r="C22" s="38" t="n">
        <x:v>204691</x:v>
      </x:c>
      <x:c r="D22" s="41">
        <x:f>B22+C22</x:f>
        <x:v>503758</x:v>
      </x:c>
      <x:c r="E22" s="33" t="inlineStr">
        <x:is>
          <x:t xml:space="preserve">Q4</x:t>
        </x:is>
      </x:c>
    </x:row>
    <x:row r="23" s="47" customFormat="1" ht="15.75" customHeight="1">
      <x:c r="A23" s="31" t="inlineStr">
        <x:is>
          <x:t xml:space="preserve">Year Total</x:t>
        </x:is>
      </x:c>
      <x:c r="B23" s="41">
        <x:f>SUM(B11:B22)</x:f>
        <x:v>1828426</x:v>
      </x:c>
      <x:c r="C23" s="41">
        <x:f>SUM(C11:C22)</x:f>
        <x:v>1218952</x:v>
      </x:c>
      <x:c r="D23" s="41">
        <x:f>SUM(D11:D22)</x:f>
        <x:v>3047378</x:v>
      </x:c>
      <x:c r="E23" s="33" t="n"/>
    </x:row>
    <x:row r="24" s="47" customFormat="1" ht="15.75" customHeight="1"/>
    <x:row r="25" s="47" customFormat="1" ht="15.75" customHeight="1">
      <x:c r="A25" s="50" t="inlineStr">
        <x:is>
          <x:t xml:space="preserve">Collection Schedule 2026 — 60-Day Payment Terms</x:t>
        </x:is>
      </x:c>
    </x:row>
    <x:row r="26" s="47" customFormat="1" ht="15.75" customHeight="1">
      <x:c r="A26" s="30" t="inlineStr">
        <x:is>
          <x:t xml:space="preserve">Description</x:t>
        </x:is>
      </x:c>
      <x:c r="B26" s="30" t="inlineStr">
        <x:is>
          <x:t xml:space="preserve">Q1</x:t>
        </x:is>
      </x:c>
      <x:c r="C26" s="30" t="inlineStr">
        <x:is>
          <x:t xml:space="preserve">Q2</x:t>
        </x:is>
      </x:c>
      <x:c r="D26" s="30" t="inlineStr">
        <x:is>
          <x:t xml:space="preserve">Q3</x:t>
        </x:is>
      </x:c>
      <x:c r="E26" s="30" t="inlineStr">
        <x:is>
          <x:t xml:space="preserve">Q4</x:t>
        </x:is>
      </x:c>
      <x:c r="F26" s="30" t="inlineStr">
        <x:is>
          <x:t xml:space="preserve">Year 2026</x:t>
        </x:is>
      </x:c>
    </x:row>
    <x:row r="27" s="47" customFormat="1" ht="15.75" customHeight="1">
      <x:c r="A27" s="31" t="inlineStr">
        <x:is>
          <x:t xml:space="preserve">Advisory Collections</x:t>
        </x:is>
      </x:c>
      <x:c r="B27" s="24">
        <x:f>Cash_Flow!B12</x:f>
        <x:v>0</x:v>
      </x:c>
      <x:c r="C27" s="24">
        <x:f>Cash_Flow!C12</x:f>
        <x:v>30000</x:v>
      </x:c>
      <x:c r="D27" s="24">
        <x:f>Cash_Flow!D12</x:f>
        <x:v>421125</x:v>
      </x:c>
      <x:c r="E27" s="24">
        <x:f>Cash_Flow!E12</x:f>
        <x:v>778182.87</x:v>
      </x:c>
      <x:c r="F27" s="24">
        <x:f>SUM(B27:E27)</x:f>
        <x:v>1229307.87</x:v>
      </x:c>
    </x:row>
    <x:row r="28" s="47" customFormat="1" ht="15.75" customHeight="1">
      <x:c r="A28" s="31" t="inlineStr">
        <x:is>
          <x:t xml:space="preserve">Training Collections</x:t>
        </x:is>
      </x:c>
      <x:c r="B28" s="24">
        <x:f>Cash_Flow!B13</x:f>
        <x:v>0</x:v>
      </x:c>
      <x:c r="C28" s="24">
        <x:f>Cash_Flow!C13</x:f>
        <x:v>248000</x:v>
      </x:c>
      <x:c r="D28" s="24">
        <x:f>Cash_Flow!D13</x:f>
        <x:v>296375</x:v>
      </x:c>
      <x:c r="E28" s="24">
        <x:f>Cash_Flow!E13</x:f>
        <x:v>439660.88</x:v>
      </x:c>
      <x:c r="F28" s="24">
        <x:f>SUM(B28:E28)</x:f>
        <x:v>984035.88</x:v>
      </x:c>
    </x:row>
    <x:row r="29" s="47" customFormat="1" ht="15.75" customHeight="1">
      <x:c r="A29" s="31" t="inlineStr">
        <x:is>
          <x:t xml:space="preserve">Total Collections</x:t>
        </x:is>
      </x:c>
      <x:c r="B29" s="41">
        <x:f>B27+B28</x:f>
        <x:v>0</x:v>
      </x:c>
      <x:c r="C29" s="41">
        <x:f>C27+C28</x:f>
        <x:v>278000</x:v>
      </x:c>
      <x:c r="D29" s="41">
        <x:f>D27+D28</x:f>
        <x:v>717500</x:v>
      </x:c>
      <x:c r="E29" s="41">
        <x:f>E27+E28</x:f>
        <x:v>1217843.75</x:v>
      </x:c>
      <x:c r="F29" s="41">
        <x:f>SUM(B29:E29)</x:f>
        <x:v>2213343.75</x:v>
      </x:c>
    </x:row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2:H2"/>
    <x:mergeCell ref="A3:C3"/>
    <x:mergeCell ref="A1:H1"/>
    <x:mergeCell ref="A9:E9"/>
    <x:mergeCell ref="A25:F25"/>
  </x:mergeCells>
  <x:pageMargins left="0.7" right="0.7" top="0.75" bottom="0.75" header="0.3" footer="0.3"/>
  <x:legacyDrawing xmlns:r="http://schemas.openxmlformats.org/officeDocument/2006/relationships" r:id="R4836f4ce5a9b4b4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2" style="47" customWidth="1"/>
    <x:col min="2" max="2" width="34" style="47" customWidth="1"/>
    <x:col min="3" max="3" width="18" style="47" customWidth="1"/>
    <x:col min="4" max="4" width="14" style="47" customWidth="1"/>
    <x:col min="5" max="6" width="16" style="47" customWidth="1"/>
    <x:col min="7" max="7" width="18" style="47" customWidth="1"/>
    <x:col min="8" max="8" width="16" style="47" customWidth="1"/>
    <x:col min="9" max="9" width="22" style="47" customWidth="1"/>
    <x:col min="10" max="26" width="8.710000038146973" style="47" customWidth="1"/>
  </x:cols>
  <x:sheetData>
    <x:row r="1">
      <x:c r="A1" s="48" t="inlineStr">
        <x:is>
          <x:t xml:space="preserve">Sales Raw Opportunities</x:t>
        </x:is>
      </x:c>
    </x:row>
    <x:row r="2">
      <x:c r="A2" s="49" t="inlineStr">
        <x:is>
          <x:t xml:space="preserve">Detailed proposal table from the dashboard sales page.</x:t>
        </x:is>
      </x:c>
    </x:row>
    <x:row r="3">
      <x:c r="A3" s="30" t="inlineStr">
        <x:is>
          <x:t xml:space="preserve">Client</x:t>
        </x:is>
      </x:c>
      <x:c r="B3" s="30" t="inlineStr">
        <x:is>
          <x:t xml:space="preserve">Opportunity</x:t>
        </x:is>
      </x:c>
      <x:c r="C3" s="30" t="inlineStr">
        <x:is>
          <x:t xml:space="preserve">BD Lead</x:t>
        </x:is>
      </x:c>
      <x:c r="D3" s="30" t="inlineStr">
        <x:is>
          <x:t xml:space="preserve">Submitted</x:t>
        </x:is>
      </x:c>
      <x:c r="E3" s="30" t="inlineStr">
        <x:is>
          <x:t xml:space="preserve">Value_SAR</x:t>
        </x:is>
      </x:c>
      <x:c r="F3" s="30" t="inlineStr">
        <x:is>
          <x:t xml:space="preserve">Probability_Pct</x:t>
        </x:is>
      </x:c>
      <x:c r="G3" s="30" t="inlineStr">
        <x:is>
          <x:t xml:space="preserve">Weighted_Value_SAR</x:t>
        </x:is>
      </x:c>
      <x:c r="H3" s="30" t="inlineStr">
        <x:is>
          <x:t xml:space="preserve">Stage</x:t>
        </x:is>
      </x:c>
      <x:c r="I3" s="30" t="inlineStr">
        <x:is>
          <x:t xml:space="preserve">Notes</x:t>
        </x:is>
      </x:c>
    </x:row>
    <x:row r="4">
      <x:c r="A4" s="31" t="inlineStr">
        <x:is>
          <x:t xml:space="preserve">Financial Academy</x:t>
        </x:is>
      </x:c>
      <x:c r="B4" s="42" t="inlineStr">
        <x:is>
          <x:t xml:space="preserve">ESG Certificate</x:t>
        </x:is>
      </x:c>
      <x:c r="C4" s="33" t="inlineStr">
        <x:is>
          <x:t xml:space="preserve">Salwa AlSudairy</x:t>
        </x:is>
      </x:c>
      <x:c r="D4" s="33" t="inlineStr">
        <x:is>
          <x:t xml:space="preserve">Jan 2026</x:t>
        </x:is>
      </x:c>
      <x:c r="E4" s="38" t="n">
        <x:v>30000</x:v>
      </x:c>
      <x:c r="F4" s="39" t="n">
        <x:v>0.95</x:v>
      </x:c>
      <x:c r="G4" s="41">
        <x:f>IF(AND(E4&lt;&gt;0,NOT(ISBLANK(E4)),NOT(ISBLANK(F4))),E4*F4,"")</x:f>
        <x:v>28500</x:v>
      </x:c>
      <x:c r="H4" s="43" t="inlineStr">
        <x:is>
          <x:t xml:space="preserve">Submitted</x:t>
        </x:is>
      </x:c>
      <x:c r="I4" s="33" t="inlineStr">
        <x:is>
          <x:t xml:space="preserve">Imported from dashboard</x:t>
        </x:is>
      </x:c>
    </x:row>
    <x:row r="5">
      <x:c r="A5" s="31" t="inlineStr">
        <x:is>
          <x:t xml:space="preserve">SIDF</x:t>
        </x:is>
      </x:c>
      <x:c r="B5" s="42" t="inlineStr">
        <x:is>
          <x:t xml:space="preserve">ESG Workshop</x:t>
        </x:is>
      </x:c>
      <x:c r="C5" s="33" t="inlineStr">
        <x:is>
          <x:t xml:space="preserve">Salwa AlSudairy</x:t>
        </x:is>
      </x:c>
      <x:c r="D5" s="33" t="inlineStr">
        <x:is>
          <x:t xml:space="preserve">Sep 2025</x:t>
        </x:is>
      </x:c>
      <x:c r="E5" s="38" t="n">
        <x:v>75000</x:v>
      </x:c>
      <x:c r="F5" s="39" t="n">
        <x:v>1</x:v>
      </x:c>
      <x:c r="G5" s="41">
        <x:f>IF(AND(E5&lt;&gt;0,NOT(ISBLANK(E5)),NOT(ISBLANK(F5))),E5*F5,"")</x:f>
        <x:v>75000</x:v>
      </x:c>
      <x:c r="H5" s="43" t="inlineStr">
        <x:is>
          <x:t xml:space="preserve">Submitted</x:t>
        </x:is>
      </x:c>
      <x:c r="I5" s="33" t="inlineStr">
        <x:is>
          <x:t xml:space="preserve">Imported from dashboard</x:t>
        </x:is>
      </x:c>
    </x:row>
    <x:row r="6">
      <x:c r="A6" s="31" t="inlineStr">
        <x:is>
          <x:t xml:space="preserve">MEP</x:t>
        </x:is>
      </x:c>
      <x:c r="B6" s="42" t="inlineStr">
        <x:is>
          <x:t xml:space="preserve">KSA Sustainability Champions</x:t>
        </x:is>
      </x:c>
      <x:c r="C6" s="33" t="inlineStr">
        <x:is>
          <x:t xml:space="preserve">Salwa AlSudairy</x:t>
        </x:is>
      </x:c>
      <x:c r="D6" s="33" t="inlineStr">
        <x:is>
          <x:t xml:space="preserve">Dec 2025</x:t>
        </x:is>
      </x:c>
      <x:c r="E6" s="38" t="n"/>
      <x:c r="F6" s="39" t="n">
        <x:v>0.85</x:v>
      </x:c>
      <x:c r="G6" s="41">
        <x:f>IF(AND(E6&lt;&gt;0,NOT(ISBLANK(E6)),NOT(ISBLANK(F6))),E6*F6,"")</x:f>
      </x:c>
      <x:c r="H6" s="43" t="inlineStr">
        <x:is>
          <x:t xml:space="preserve">Submitted</x:t>
        </x:is>
      </x:c>
      <x:c r="I6" s="33" t="inlineStr">
        <x:is>
          <x:t xml:space="preserve">Imported from dashboard</x:t>
        </x:is>
      </x:c>
    </x:row>
    <x:row r="7">
      <x:c r="A7" s="31" t="inlineStr">
        <x:is>
          <x:t xml:space="preserve">Tadawul Group</x:t>
        </x:is>
      </x:c>
      <x:c r="B7" s="42" t="inlineStr">
        <x:is>
          <x:t xml:space="preserve">GDP ESG Workshop</x:t>
        </x:is>
      </x:c>
      <x:c r="C7" s="33" t="inlineStr">
        <x:is>
          <x:t xml:space="preserve">Salwa AlSudairy</x:t>
        </x:is>
      </x:c>
      <x:c r="D7" s="33" t="inlineStr">
        <x:is>
          <x:t xml:space="preserve">Oct 2025</x:t>
        </x:is>
      </x:c>
      <x:c r="E7" s="38" t="n">
        <x:v>500000</x:v>
      </x:c>
      <x:c r="F7" s="39" t="n">
        <x:v>0.8</x:v>
      </x:c>
      <x:c r="G7" s="41">
        <x:f>IF(AND(E7&lt;&gt;0,NOT(ISBLANK(E7)),NOT(ISBLANK(F7))),E7*F7,"")</x:f>
        <x:v>400000</x:v>
      </x:c>
      <x:c r="H7" s="43" t="inlineStr">
        <x:is>
          <x:t xml:space="preserve">Submitted</x:t>
        </x:is>
      </x:c>
      <x:c r="I7" s="33" t="inlineStr">
        <x:is>
          <x:t xml:space="preserve">Imported from dashboard</x:t>
        </x:is>
      </x:c>
    </x:row>
    <x:row r="8">
      <x:c r="A8" s="31" t="inlineStr">
        <x:is>
          <x:t xml:space="preserve">Center For Gov.</x:t>
        </x:is>
      </x:c>
      <x:c r="B8" s="42" t="inlineStr">
        <x:is>
          <x:t xml:space="preserve">ESG Course Development</x:t>
        </x:is>
      </x:c>
      <x:c r="C8" s="33" t="inlineStr">
        <x:is>
          <x:t xml:space="preserve">Salwa AlSudairy</x:t>
        </x:is>
      </x:c>
      <x:c r="D8" s="33" t="inlineStr">
        <x:is>
          <x:t xml:space="preserve">Oct 2025</x:t>
        </x:is>
      </x:c>
      <x:c r="E8" s="38" t="n">
        <x:v>20000</x:v>
      </x:c>
      <x:c r="F8" s="39" t="n">
        <x:v>1</x:v>
      </x:c>
      <x:c r="G8" s="41">
        <x:f>IF(AND(E8&lt;&gt;0,NOT(ISBLANK(E8)),NOT(ISBLANK(F8))),E8*F8,"")</x:f>
        <x:v>20000</x:v>
      </x:c>
      <x:c r="H8" s="43" t="inlineStr">
        <x:is>
          <x:t xml:space="preserve">Won</x:t>
        </x:is>
      </x:c>
      <x:c r="I8" s="33" t="inlineStr">
        <x:is>
          <x:t xml:space="preserve">Imported from dashboard</x:t>
        </x:is>
      </x:c>
    </x:row>
    <x:row r="9">
      <x:c r="A9" s="31" t="inlineStr">
        <x:is>
          <x:t xml:space="preserve">GOSI</x:t>
        </x:is>
      </x:c>
      <x:c r="B9" s="42" t="inlineStr">
        <x:is>
          <x:t xml:space="preserve">Enablement Program</x:t>
        </x:is>
      </x:c>
      <x:c r="C9" s="33" t="inlineStr">
        <x:is>
          <x:t xml:space="preserve">Salwa AlSudairy</x:t>
        </x:is>
      </x:c>
      <x:c r="D9" s="33" t="inlineStr">
        <x:is>
          <x:t xml:space="preserve">Feb 2026</x:t>
        </x:is>
      </x:c>
      <x:c r="E9" s="38" t="n">
        <x:v>500000</x:v>
      </x:c>
      <x:c r="F9" s="39" t="n">
        <x:v>0.6</x:v>
      </x:c>
      <x:c r="G9" s="41">
        <x:f>IF(AND(E9&lt;&gt;0,NOT(ISBLANK(E9)),NOT(ISBLANK(F9))),E9*F9,"")</x:f>
        <x:v>300000</x:v>
      </x:c>
      <x:c r="H9" s="43" t="inlineStr">
        <x:is>
          <x:t xml:space="preserve">Submitted</x:t>
        </x:is>
      </x:c>
      <x:c r="I9" s="33" t="inlineStr">
        <x:is>
          <x:t xml:space="preserve">Imported from dashboard</x:t>
        </x:is>
      </x:c>
    </x:row>
    <x:row r="10">
      <x:c r="A10" s="31" t="inlineStr">
        <x:is>
          <x:t xml:space="preserve">Tadawul Group</x:t>
        </x:is>
      </x:c>
      <x:c r="B10" s="42" t="inlineStr">
        <x:is>
          <x:t xml:space="preserve">ESG &amp; Corp. Governance</x:t>
        </x:is>
      </x:c>
      <x:c r="C10" s="33" t="inlineStr">
        <x:is>
          <x:t xml:space="preserve">Salwa AlSudairy</x:t>
        </x:is>
      </x:c>
      <x:c r="D10" s="33" t="inlineStr">
        <x:is>
          <x:t xml:space="preserve">Aug 2025</x:t>
        </x:is>
      </x:c>
      <x:c r="E10" s="38" t="n">
        <x:v>1000000</x:v>
      </x:c>
      <x:c r="F10" s="39" t="n">
        <x:v>0.6</x:v>
      </x:c>
      <x:c r="G10" s="41">
        <x:f>IF(AND(E10&lt;&gt;0,NOT(ISBLANK(E10)),NOT(ISBLANK(F10))),E10*F10,"")</x:f>
        <x:v>600000</x:v>
      </x:c>
      <x:c r="H10" s="43" t="inlineStr">
        <x:is>
          <x:t xml:space="preserve">Submitted</x:t>
        </x:is>
      </x:c>
      <x:c r="I10" s="33" t="inlineStr">
        <x:is>
          <x:t xml:space="preserve">Imported from dashboard</x:t>
        </x:is>
      </x:c>
    </x:row>
    <x:row r="11">
      <x:c r="A11" s="31" t="inlineStr">
        <x:is>
          <x:t xml:space="preserve">KACST</x:t>
        </x:is>
      </x:c>
      <x:c r="B11" s="42" t="inlineStr">
        <x:is>
          <x:t xml:space="preserve">Elevating KACST's ESG Story</x:t>
        </x:is>
      </x:c>
      <x:c r="C11" s="33" t="inlineStr">
        <x:is>
          <x:t xml:space="preserve">Salwa AlSudairy</x:t>
        </x:is>
      </x:c>
      <x:c r="D11" s="33" t="inlineStr">
        <x:is>
          <x:t xml:space="preserve">Oct 2025</x:t>
        </x:is>
      </x:c>
      <x:c r="E11" s="38" t="n"/>
      <x:c r="F11" s="39" t="n">
        <x:v>0.5</x:v>
      </x:c>
      <x:c r="G11" s="41" t="n">
        <x:v>50000</x:v>
      </x:c>
      <x:c r="H11" s="43" t="inlineStr">
        <x:is>
          <x:t xml:space="preserve">Submitted</x:t>
        </x:is>
      </x:c>
      <x:c r="I11" s="33" t="inlineStr">
        <x:is>
          <x:t xml:space="preserve">Imported from dashboard</x:t>
        </x:is>
      </x:c>
    </x:row>
    <x:row r="12">
      <x:c r="A12" s="31" t="inlineStr">
        <x:is>
          <x:t xml:space="preserve">KAUST</x:t>
        </x:is>
      </x:c>
      <x:c r="B12" s="42" t="inlineStr">
        <x:is>
          <x:t xml:space="preserve">From Lab to Kingdom</x:t>
        </x:is>
      </x:c>
      <x:c r="C12" s="33" t="inlineStr">
        <x:is>
          <x:t xml:space="preserve">Salwa AlSudairy</x:t>
        </x:is>
      </x:c>
      <x:c r="D12" s="33" t="inlineStr">
        <x:is>
          <x:t xml:space="preserve">Oct 2025</x:t>
        </x:is>
      </x:c>
      <x:c r="E12" s="38" t="n"/>
      <x:c r="F12" s="39" t="n">
        <x:v>0.5</x:v>
      </x:c>
      <x:c r="G12" s="41" t="n">
        <x:v>50000</x:v>
      </x:c>
      <x:c r="H12" s="43" t="inlineStr">
        <x:is>
          <x:t xml:space="preserve">Submitted</x:t>
        </x:is>
      </x:c>
      <x:c r="I12" s="33" t="inlineStr">
        <x:is>
          <x:t xml:space="preserve">Imported from dashboard</x:t>
        </x:is>
      </x:c>
    </x:row>
    <x:row r="13">
      <x:c r="A13" s="31" t="inlineStr">
        <x:is>
          <x:t xml:space="preserve">King Saud Univ.</x:t>
        </x:is>
      </x:c>
      <x:c r="B13" s="42" t="inlineStr">
        <x:is>
          <x:t xml:space="preserve">Future Proofing KSU Graduates</x:t>
        </x:is>
      </x:c>
      <x:c r="C13" s="33" t="inlineStr">
        <x:is>
          <x:t xml:space="preserve">Salwa AlSudairy</x:t>
        </x:is>
      </x:c>
      <x:c r="D13" s="33" t="inlineStr">
        <x:is>
          <x:t xml:space="preserve">Oct 2025</x:t>
        </x:is>
      </x:c>
      <x:c r="E13" s="38" t="n"/>
      <x:c r="F13" s="39" t="n">
        <x:v>0.5</x:v>
      </x:c>
      <x:c r="G13" s="41" t="n">
        <x:v>50000</x:v>
      </x:c>
      <x:c r="H13" s="43" t="inlineStr">
        <x:is>
          <x:t xml:space="preserve">Submitted</x:t>
        </x:is>
      </x:c>
      <x:c r="I13" s="33" t="inlineStr">
        <x:is>
          <x:t xml:space="preserve">Imported from dashboard</x:t>
        </x:is>
      </x:c>
    </x:row>
    <x:row r="14">
      <x:c r="A14" s="31" t="inlineStr">
        <x:is>
          <x:t xml:space="preserve">Middle Beast</x:t>
        </x:is>
      </x:c>
      <x:c r="B14" s="42" t="inlineStr">
        <x:is>
          <x:t xml:space="preserve">Attache ESG Enablement</x:t>
        </x:is>
      </x:c>
      <x:c r="C14" s="33" t="inlineStr">
        <x:is>
          <x:t xml:space="preserve">Salwa AlSudairy</x:t>
        </x:is>
      </x:c>
      <x:c r="D14" s="33" t="inlineStr">
        <x:is>
          <x:t xml:space="preserve">Mar 2026</x:t>
        </x:is>
      </x:c>
      <x:c r="E14" s="38" t="n">
        <x:v>100000</x:v>
      </x:c>
      <x:c r="F14" s="39" t="n">
        <x:v>0.5</x:v>
      </x:c>
      <x:c r="G14" s="41">
        <x:f>IF(AND(E14&lt;&gt;0,NOT(ISBLANK(E14)),NOT(ISBLANK(F14))),E14*F14,"")</x:f>
        <x:v>50000</x:v>
      </x:c>
      <x:c r="H14" s="43" t="inlineStr">
        <x:is>
          <x:t xml:space="preserve">Submitted</x:t>
        </x:is>
      </x:c>
      <x:c r="I14" s="33" t="inlineStr">
        <x:is>
          <x:t xml:space="preserve">Imported from dashboard</x:t>
        </x:is>
      </x:c>
    </x:row>
    <x:row r="15">
      <x:c r="A15" s="31" t="inlineStr">
        <x:is>
          <x:t xml:space="preserve">NADEC</x:t>
        </x:is>
      </x:c>
      <x:c r="B15" s="42" t="inlineStr">
        <x:is>
          <x:t xml:space="preserve">ESG Integration</x:t>
        </x:is>
      </x:c>
      <x:c r="C15" s="33" t="inlineStr">
        <x:is>
          <x:t xml:space="preserve">Gihan Hyde</x:t>
        </x:is>
      </x:c>
      <x:c r="D15" s="33" t="inlineStr">
        <x:is>
          <x:t xml:space="preserve">Feb 2026</x:t>
        </x:is>
      </x:c>
      <x:c r="E15" s="38" t="n">
        <x:v>500000</x:v>
      </x:c>
      <x:c r="F15" s="39" t="n">
        <x:v>0.5</x:v>
      </x:c>
      <x:c r="G15" s="41">
        <x:f>IF(AND(E15&lt;&gt;0,NOT(ISBLANK(E15)),NOT(ISBLANK(F15))),E15*F15,"")</x:f>
        <x:v>250000</x:v>
      </x:c>
      <x:c r="H15" s="43" t="inlineStr">
        <x:is>
          <x:t xml:space="preserve">Submitted</x:t>
        </x:is>
      </x:c>
      <x:c r="I15" s="33" t="inlineStr">
        <x:is>
          <x:t xml:space="preserve">Imported from dashboard</x:t>
        </x:is>
      </x:c>
    </x:row>
    <x:row r="16">
      <x:c r="A16" s="31" t="inlineStr">
        <x:is>
          <x:t xml:space="preserve">Tadawul Group</x:t>
        </x:is>
      </x:c>
      <x:c r="B16" s="42" t="inlineStr">
        <x:is>
          <x:t xml:space="preserve">AI In Action</x:t>
        </x:is>
      </x:c>
      <x:c r="C16" s="33" t="inlineStr">
        <x:is>
          <x:t xml:space="preserve">Salwa AlSudairy</x:t>
        </x:is>
      </x:c>
      <x:c r="D16" s="33" t="inlineStr">
        <x:is>
          <x:t xml:space="preserve">Jan 2026</x:t>
        </x:is>
      </x:c>
      <x:c r="E16" s="38" t="n">
        <x:v>90000</x:v>
      </x:c>
      <x:c r="F16" s="39" t="n">
        <x:v>0.5</x:v>
      </x:c>
      <x:c r="G16" s="41">
        <x:f>IF(AND(E16&lt;&gt;0,NOT(ISBLANK(E16)),NOT(ISBLANK(F16))),E16*F16,"")</x:f>
        <x:v>45000</x:v>
      </x:c>
      <x:c r="H16" s="43" t="inlineStr">
        <x:is>
          <x:t xml:space="preserve">Submitted</x:t>
        </x:is>
      </x:c>
      <x:c r="I16" s="33" t="inlineStr">
        <x:is>
          <x:t xml:space="preserve">Imported from dashboard</x:t>
        </x:is>
      </x:c>
    </x:row>
    <x:row r="17">
      <x:c r="A17" s="31" t="inlineStr">
        <x:is>
          <x:t xml:space="preserve">CMA</x:t>
        </x:is>
      </x:c>
      <x:c r="B17" s="42" t="inlineStr">
        <x:is>
          <x:t xml:space="preserve">Green Finance Think Tank</x:t>
        </x:is>
      </x:c>
      <x:c r="C17" s="33" t="inlineStr">
        <x:is>
          <x:t xml:space="preserve">Salwa AlSudairy</x:t>
        </x:is>
      </x:c>
      <x:c r="D17" s="33" t="inlineStr">
        <x:is>
          <x:t xml:space="preserve">Mar 2026</x:t>
        </x:is>
      </x:c>
      <x:c r="E17" s="38" t="n"/>
      <x:c r="F17" s="39" t="n">
        <x:v>0.5</x:v>
      </x:c>
      <x:c r="G17" s="41">
        <x:f>IF(AND(E17&lt;&gt;0,NOT(ISBLANK(E17)),NOT(ISBLANK(F17))),E17*F17,"")</x:f>
      </x:c>
      <x:c r="H17" s="43" t="inlineStr">
        <x:is>
          <x:t xml:space="preserve">Submitted</x:t>
        </x:is>
      </x:c>
      <x:c r="I17" s="33" t="inlineStr">
        <x:is>
          <x:t xml:space="preserve">Imported from dashboard</x:t>
        </x:is>
      </x:c>
    </x:row>
    <x:row r="18">
      <x:c r="A18" s="31" t="inlineStr">
        <x:is>
          <x:t xml:space="preserve">ITQAN</x:t>
        </x:is>
      </x:c>
      <x:c r="B18" s="42" t="inlineStr">
        <x:is>
          <x:t xml:space="preserve">ESG Workshop</x:t>
        </x:is>
      </x:c>
      <x:c r="C18" s="33" t="inlineStr">
        <x:is>
          <x:t xml:space="preserve">Salwa AlSudairy</x:t>
        </x:is>
      </x:c>
      <x:c r="D18" s="33" t="inlineStr">
        <x:is>
          <x:t xml:space="preserve">Oct 2025</x:t>
        </x:is>
      </x:c>
      <x:c r="E18" s="38" t="n">
        <x:v>195000</x:v>
      </x:c>
      <x:c r="F18" s="39" t="n">
        <x:v>0.4</x:v>
      </x:c>
      <x:c r="G18" s="41">
        <x:f>IF(AND(E18&lt;&gt;0,NOT(ISBLANK(E18)),NOT(ISBLANK(F18))),E18*F18,"")</x:f>
        <x:v>78000</x:v>
      </x:c>
      <x:c r="H18" s="43" t="inlineStr">
        <x:is>
          <x:t xml:space="preserve">Submitted</x:t>
        </x:is>
      </x:c>
      <x:c r="I18" s="33" t="inlineStr">
        <x:is>
          <x:t xml:space="preserve">Imported from dashboard</x:t>
        </x:is>
      </x:c>
    </x:row>
    <x:row r="19">
      <x:c r="A19" s="31" t="inlineStr">
        <x:is>
          <x:t xml:space="preserve">Obeikan</x:t>
        </x:is>
      </x:c>
      <x:c r="B19" s="42" t="inlineStr">
        <x:is>
          <x:t xml:space="preserve">RPI ESG Workshop</x:t>
        </x:is>
      </x:c>
      <x:c r="C19" s="33" t="inlineStr">
        <x:is>
          <x:t xml:space="preserve">Salwa AlSudairy</x:t>
        </x:is>
      </x:c>
      <x:c r="D19" s="33" t="inlineStr">
        <x:is>
          <x:t xml:space="preserve">Nov 2025</x:t>
        </x:is>
      </x:c>
      <x:c r="E19" s="38" t="n">
        <x:v>100000</x:v>
      </x:c>
      <x:c r="F19" s="39" t="n">
        <x:v>0.3</x:v>
      </x:c>
      <x:c r="G19" s="41">
        <x:f>IF(AND(E19&lt;&gt;0,NOT(ISBLANK(E19)),NOT(ISBLANK(F19))),E19*F19,"")</x:f>
        <x:v>30000</x:v>
      </x:c>
      <x:c r="H19" s="43" t="inlineStr">
        <x:is>
          <x:t xml:space="preserve">Submitted</x:t>
        </x:is>
      </x:c>
      <x:c r="I19" s="33" t="inlineStr">
        <x:is>
          <x:t xml:space="preserve">Imported from dashboard</x:t>
        </x:is>
      </x:c>
    </x:row>
    <x:row r="20">
      <x:c r="A20" s="31" t="inlineStr">
        <x:is>
          <x:t xml:space="preserve">Financial Academy</x:t>
        </x:is>
      </x:c>
      <x:c r="B20" s="42" t="inlineStr">
        <x:is>
          <x:t xml:space="preserve">ESG &amp; Corp. Governance</x:t>
        </x:is>
      </x:c>
      <x:c r="C20" s="33" t="inlineStr">
        <x:is>
          <x:t xml:space="preserve">Salwa AlSudairy</x:t>
        </x:is>
      </x:c>
      <x:c r="D20" s="33" t="inlineStr">
        <x:is>
          <x:t xml:space="preserve">Aug 2025</x:t>
        </x:is>
      </x:c>
      <x:c r="E20" s="38" t="n">
        <x:v>45000</x:v>
      </x:c>
      <x:c r="F20" s="39" t="n">
        <x:v>0.6</x:v>
      </x:c>
      <x:c r="G20" s="41">
        <x:f>IF(AND(E20&lt;&gt;0,NOT(ISBLANK(E20)),NOT(ISBLANK(F20))),E20*F20,"")</x:f>
        <x:v>27000</x:v>
      </x:c>
      <x:c r="H20" s="43" t="inlineStr">
        <x:is>
          <x:t xml:space="preserve">Submitted</x:t>
        </x:is>
      </x:c>
      <x:c r="I20" s="33" t="inlineStr">
        <x:is>
          <x:t xml:space="preserve">Imported from dashboard</x:t>
        </x:is>
      </x:c>
    </x:row>
    <x:row r="21" s="47" customFormat="1" ht="15.75" customHeight="1">
      <x:c r="A21" s="31" t="inlineStr">
        <x:is>
          <x:t xml:space="preserve">Financial Academy</x:t>
        </x:is>
      </x:c>
      <x:c r="B21" s="42" t="inlineStr">
        <x:is>
          <x:t xml:space="preserve">Tadawul ESG Course</x:t>
        </x:is>
      </x:c>
      <x:c r="C21" s="33" t="inlineStr">
        <x:is>
          <x:t xml:space="preserve">Salwa AlSudairy</x:t>
        </x:is>
      </x:c>
      <x:c r="D21" s="33" t="inlineStr">
        <x:is>
          <x:t xml:space="preserve">Feb 2026</x:t>
        </x:is>
      </x:c>
      <x:c r="E21" s="38" t="n">
        <x:v>30000</x:v>
      </x:c>
      <x:c r="F21" s="39" t="n">
        <x:v>1</x:v>
      </x:c>
      <x:c r="G21" s="41">
        <x:f>IF(AND(E21&lt;&gt;0,NOT(ISBLANK(E21)),NOT(ISBLANK(F21))),E21*F21,"")</x:f>
        <x:v>30000</x:v>
      </x:c>
      <x:c r="H21" s="43" t="inlineStr">
        <x:is>
          <x:t xml:space="preserve">Won</x:t>
        </x:is>
      </x:c>
      <x:c r="I21" s="33" t="inlineStr">
        <x:is>
          <x:t xml:space="preserve">Imported from dashboard</x:t>
        </x:is>
      </x:c>
    </x:row>
    <x:row r="22" s="47" customFormat="1" ht="15.75" customHeight="1">
      <x:c r="A22" s="31" t="inlineStr">
        <x:is>
          <x:t xml:space="preserve">Financial Academy</x:t>
        </x:is>
      </x:c>
      <x:c r="B22" s="42" t="inlineStr">
        <x:is>
          <x:t xml:space="preserve">ESG Workshop</x:t>
        </x:is>
      </x:c>
      <x:c r="C22" s="33" t="inlineStr">
        <x:is>
          <x:t xml:space="preserve">Salwa AlSudairy</x:t>
        </x:is>
      </x:c>
      <x:c r="D22" s="33" t="inlineStr">
        <x:is>
          <x:t xml:space="preserve">Nov 2025</x:t>
        </x:is>
      </x:c>
      <x:c r="E22" s="38" t="n">
        <x:v>140000</x:v>
      </x:c>
      <x:c r="F22" s="39" t="n">
        <x:v>0.5</x:v>
      </x:c>
      <x:c r="G22" s="41">
        <x:f>IF(AND(E22&lt;&gt;0,NOT(ISBLANK(E22)),NOT(ISBLANK(F22))),E22*F22,"")</x:f>
        <x:v>70000</x:v>
      </x:c>
      <x:c r="H22" s="43" t="inlineStr">
        <x:is>
          <x:t xml:space="preserve">Submitted</x:t>
        </x:is>
      </x:c>
      <x:c r="I22" s="33" t="inlineStr">
        <x:is>
          <x:t xml:space="preserve">Imported from dashboard</x:t>
        </x:is>
      </x:c>
    </x:row>
    <x:row r="23" s="47" customFormat="1" ht="15.75" customHeight="1">
      <x:c r="A23" s="31" t="inlineStr">
        <x:is>
          <x:t xml:space="preserve">PIF</x:t>
        </x:is>
      </x:c>
      <x:c r="B23" s="42" t="inlineStr">
        <x:is>
          <x:t xml:space="preserve">PIF Offsite Proposal</x:t>
        </x:is>
      </x:c>
      <x:c r="C23" s="33" t="inlineStr">
        <x:is>
          <x:t xml:space="preserve">Salwa AlSudairy</x:t>
        </x:is>
      </x:c>
      <x:c r="D23" s="33" t="inlineStr">
        <x:is>
          <x:t xml:space="preserve">Dec 2025</x:t>
        </x:is>
      </x:c>
      <x:c r="E23" s="38" t="n">
        <x:v>100000</x:v>
      </x:c>
      <x:c r="F23" s="39" t="n">
        <x:v>0</x:v>
      </x:c>
      <x:c r="G23" s="41">
        <x:f>IF(AND(E23&lt;&gt;0,NOT(ISBLANK(E23)),NOT(ISBLANK(F23))),E23*F23,"")</x:f>
        <x:v>0</x:v>
      </x:c>
      <x:c r="H23" s="43" t="inlineStr">
        <x:is>
          <x:t xml:space="preserve">Lost</x:t>
        </x:is>
      </x:c>
      <x:c r="I23" s="33" t="inlineStr">
        <x:is>
          <x:t xml:space="preserve">Imported from dashboard</x:t>
        </x:is>
      </x:c>
    </x:row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  <x:row r="1001" s="47" customFormat="1" ht="15.75" customHeight="1"/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70a4af29c6ef46ec"/>
  <x:tableParts count="1">
    <x:tablePart xmlns:r="http://schemas.openxmlformats.org/officeDocument/2006/relationships" r:id="R928a9d73bb2042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30" style="47" customWidth="1"/>
    <x:col min="2" max="3" width="16" style="47" customWidth="1"/>
    <x:col min="4" max="26" width="8.710000038146973" style="47" customWidth="1"/>
  </x:cols>
  <x:sheetData>
    <x:row r="1">
      <x:c r="A1" s="48" t="inlineStr">
        <x:is>
          <x:t xml:space="preserve">Sales Raw Operations</x:t>
        </x:is>
      </x:c>
    </x:row>
    <x:row r="2">
      <x:c r="A2" s="49" t="inlineStr">
        <x:is>
          <x:t xml:space="preserve">Operations readiness table from the dashboard sales page.</x:t>
        </x:is>
      </x:c>
    </x:row>
    <x:row r="3">
      <x:c r="A3" s="30" t="inlineStr">
        <x:is>
          <x:t xml:space="preserve">Operation Item</x:t>
        </x:is>
      </x:c>
      <x:c r="B3" s="30" t="inlineStr">
        <x:is>
          <x:t xml:space="preserve">Status</x:t>
        </x:is>
      </x:c>
      <x:c r="C3" s="30" t="inlineStr">
        <x:is>
          <x:t xml:space="preserve">Progress_Pct</x:t>
        </x:is>
      </x:c>
    </x:row>
    <x:row r="4">
      <x:c r="A4" s="31" t="inlineStr">
        <x:is>
          <x:t xml:space="preserve">Bank Account Activation</x:t>
        </x:is>
      </x:c>
      <x:c r="B4" s="43" t="inlineStr">
        <x:is>
          <x:t xml:space="preserve">Completed</x:t>
        </x:is>
      </x:c>
      <x:c r="C4" s="39" t="n">
        <x:v>1</x:v>
      </x:c>
    </x:row>
    <x:row r="5">
      <x:c r="A5" s="31" t="inlineStr">
        <x:is>
          <x:t xml:space="preserve">National Address</x:t>
        </x:is>
      </x:c>
      <x:c r="B5" s="43" t="inlineStr">
        <x:is>
          <x:t xml:space="preserve">Completed</x:t>
        </x:is>
      </x:c>
      <x:c r="C5" s="39" t="n">
        <x:v>1</x:v>
      </x:c>
    </x:row>
    <x:row r="6">
      <x:c r="A6" s="31" t="inlineStr">
        <x:is>
          <x:t xml:space="preserve">External Audit</x:t>
        </x:is>
      </x:c>
      <x:c r="B6" s="43" t="inlineStr">
        <x:is>
          <x:t xml:space="preserve">In Process</x:t>
        </x:is>
      </x:c>
      <x:c r="C6" s="39" t="n">
        <x:v>0.5</x:v>
      </x:c>
    </x:row>
    <x:row r="7">
      <x:c r="A7" s="31" t="inlineStr">
        <x:is>
          <x:t xml:space="preserve">Website</x:t>
        </x:is>
      </x:c>
      <x:c r="B7" s="43" t="inlineStr">
        <x:is>
          <x:t xml:space="preserve">In Process</x:t>
        </x:is>
      </x:c>
      <x:c r="C7" s="39" t="n">
        <x:v>0.5</x:v>
      </x:c>
    </x:row>
    <x:row r="8">
      <x:c r="A8" s="31" t="inlineStr">
        <x:is>
          <x:t xml:space="preserve">Advisory Committee</x:t>
        </x:is>
      </x:c>
      <x:c r="B8" s="43" t="inlineStr">
        <x:is>
          <x:t xml:space="preserve">In Process</x:t>
        </x:is>
      </x:c>
      <x:c r="C8" s="39" t="n">
        <x:v>0.5</x:v>
      </x:c>
    </x:row>
    <x:row r="9">
      <x:c r="A9" s="31" t="inlineStr">
        <x:is>
          <x:t xml:space="preserve">Governance Policies</x:t>
        </x:is>
      </x:c>
      <x:c r="B9" s="43" t="inlineStr">
        <x:is>
          <x:t xml:space="preserve">In Process</x:t>
        </x:is>
      </x:c>
      <x:c r="C9" s="39" t="n">
        <x:v>0.4</x:v>
      </x:c>
    </x:row>
    <x:row r="10">
      <x:c r="A10" s="31" t="inlineStr">
        <x:is>
          <x:t xml:space="preserve">Recruitment</x:t>
        </x:is>
      </x:c>
      <x:c r="B10" s="43" t="inlineStr">
        <x:is>
          <x:t xml:space="preserve">In Process</x:t>
        </x:is>
      </x:c>
      <x:c r="C10" s="39" t="n">
        <x:v>0.3</x:v>
      </x:c>
    </x:row>
    <x:row r="11">
      <x:c r="A11" s="31" t="inlineStr">
        <x:is>
          <x:t xml:space="preserve">ZATCA</x:t>
        </x:is>
      </x:c>
      <x:c r="B11" s="43" t="inlineStr">
        <x:is>
          <x:t xml:space="preserve">Pending</x:t>
        </x:is>
      </x:c>
      <x:c r="C11" s="39" t="n">
        <x:v>0.3</x:v>
      </x:c>
    </x:row>
    <x:row r="12">
      <x:c r="A12" s="31" t="inlineStr">
        <x:is>
          <x:t xml:space="preserve">Mentorship Platform</x:t>
        </x:is>
      </x:c>
      <x:c r="B12" s="43" t="inlineStr">
        <x:is>
          <x:t xml:space="preserve">In Process</x:t>
        </x:is>
      </x:c>
      <x:c r="C12" s="39" t="n">
        <x:v>0.3</x:v>
      </x:c>
    </x:row>
    <x:row r="13">
      <x:c r="A13" s="31" t="inlineStr">
        <x:is>
          <x:t xml:space="preserve">Commercial Registration</x:t>
        </x:is>
      </x:c>
      <x:c r="B13" s="43" t="inlineStr">
        <x:is>
          <x:t xml:space="preserve">Pending</x:t>
        </x:is>
      </x:c>
      <x:c r="C13" s="39" t="n">
        <x:v>0.2</x:v>
      </x:c>
    </x:row>
    <x:row r="21" s="47" customFormat="1" ht="15.75" customHeight="1"/>
    <x:row r="22" s="47" customFormat="1" ht="15.75" customHeight="1"/>
    <x:row r="23" s="47" customFormat="1" ht="15.75" customHeight="1"/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2:F2"/>
    <x:mergeCell ref="A1:F1"/>
  </x:mergeCells>
  <x:pageMargins left="0.7" right="0.7" top="0.75" bottom="0.75" header="0.3" footer="0.3"/>
  <x:legacyDrawing xmlns:r="http://schemas.openxmlformats.org/officeDocument/2006/relationships" r:id="R737e02e53b624d7f"/>
  <x:tableParts count="1">
    <x:tablePart xmlns:r="http://schemas.openxmlformats.org/officeDocument/2006/relationships" r:id="Rd7bcf61bd5b241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14.430000305175781" defaultRowHeight="15"/>
  <x:cols>
    <x:col min="1" max="1" width="24" style="47" customWidth="1"/>
    <x:col min="2" max="3" width="16" style="47" customWidth="1"/>
    <x:col min="4" max="4" width="18" style="47" customWidth="1"/>
    <x:col min="5" max="5" width="32" style="47" customWidth="1"/>
    <x:col min="6" max="6" width="16" style="47" customWidth="1"/>
    <x:col min="7" max="7" width="18" style="47" customWidth="1"/>
    <x:col min="8" max="8" width="22" style="47" customWidth="1"/>
    <x:col min="9" max="9" width="18" style="47" customWidth="1"/>
    <x:col min="10" max="26" width="8.710000038146973" style="47" customWidth="1"/>
  </x:cols>
  <x:sheetData>
    <x:row r="1">
      <x:c r="A1" s="48" t="inlineStr">
        <x:is>
          <x:t xml:space="preserve">Sales Performance</x:t>
        </x:is>
      </x:c>
    </x:row>
    <x:row r="2">
      <x:c r="A2" s="49" t="inlineStr">
        <x:is>
          <x:t xml:space="preserve">Dedicated sales page matching the dashboard sales tab.</x:t>
        </x:is>
      </x:c>
    </x:row>
    <x:row r="3">
      <x:c r="A3" s="50" t="inlineStr">
        <x:is>
          <x:t xml:space="preserve">KPI Card Source Table</x:t>
        </x:is>
      </x:c>
    </x:row>
    <x:row r="4">
      <x:c r="A4" s="30" t="inlineStr">
        <x:is>
          <x:t xml:space="preserve">Metric</x:t>
        </x:is>
      </x:c>
      <x:c r="B4" s="30" t="inlineStr">
        <x:is>
          <x:t xml:space="preserve">Count</x:t>
        </x:is>
      </x:c>
      <x:c r="C4" s="30" t="inlineStr">
        <x:is>
          <x:t xml:space="preserve">Value_SAR</x:t>
        </x:is>
      </x:c>
      <x:c r="D4" s="30" t="inlineStr">
        <x:is>
          <x:t xml:space="preserve">This_Month_Count</x:t>
        </x:is>
      </x:c>
      <x:c r="E4" s="30" t="inlineStr">
        <x:is>
          <x:t xml:space="preserve">This_Month_Value_or_Note</x:t>
        </x:is>
      </x:c>
      <x:c r="F4" s="30" t="inlineStr">
        <x:is>
          <x:t xml:space="preserve">This_Week_Count</x:t>
        </x:is>
      </x:c>
      <x:c r="G4" s="30" t="inlineStr">
        <x:is>
          <x:t xml:space="preserve">Probability Bucket</x:t>
        </x:is>
      </x:c>
      <x:c r="H4" s="25" t="inlineStr">
        <x:is>
          <x:t xml:space="preserve">Proposal Count</x:t>
        </x:is>
      </x:c>
      <x:c r="I4" s="25" t="inlineStr">
        <x:is>
          <x:t xml:space="preserve">Source</x:t>
        </x:is>
      </x:c>
    </x:row>
    <x:row r="5">
      <x:c r="A5" s="31" t="inlineStr">
        <x:is>
          <x:t xml:space="preserve">Total Leads</x:t>
        </x:is>
      </x:c>
      <x:c r="B5" s="38" t="n">
        <x:v>9</x:v>
      </x:c>
      <x:c r="C5" s="38" t="n">
        <x:v>3700000</x:v>
      </x:c>
      <x:c r="D5" s="38" t="n">
        <x:v>2</x:v>
      </x:c>
      <x:c r="E5" s="43" t="inlineStr">
        <x:is>
          <x:t xml:space="preserve">1000000</x:t>
        </x:is>
      </x:c>
      <x:c r="F5" s="38" t="n">
        <x:v>7</x:v>
      </x:c>
      <x:c r="G5" s="44" t="n">
        <x:v>0</x:v>
      </x:c>
      <x:c r="H5" s="28">
        <x:f>COUNTIF(Sales_Raw_Opportunities!F:F,G5)</x:f>
        <x:v>1</x:v>
      </x:c>
      <x:c r="I5" s="6" t="inlineStr">
        <x:is>
          <x:t xml:space="preserve">Auto-count from raw opportunities</x:t>
        </x:is>
      </x:c>
    </x:row>
    <x:row r="6">
      <x:c r="A6" s="31" t="inlineStr">
        <x:is>
          <x:t xml:space="preserve">Active Proposals</x:t>
        </x:is>
      </x:c>
      <x:c r="B6" s="38">
        <x:f>COUNTA(Pipeline_Revenue!G11:G19)</x:f>
        <x:v>9</x:v>
      </x:c>
      <x:c r="C6" s="38">
        <x:f>SUM(Pipeline_Revenue!H11:H19)</x:f>
        <x:v>2095000</x:v>
      </x:c>
      <x:c r="D6" s="38">
        <x:f>COUNTIF(Pipeline_Revenue!A11:A19,"Apr")</x:f>
        <x:v>1</x:v>
      </x:c>
      <x:c r="E6" s="43" t="str">
        <x:f>TEXTJOIN(", ",TRUE,FILTER(Pipeline_Revenue!G11:G19,Pipeline_Revenue!A11:A19="Apr"))</x:f>
        <x:v>TADAWUL</x:v>
      </x:c>
      <x:c r="F6" s="38" t="n">
        <x:v>4</x:v>
      </x:c>
      <x:c r="G6" s="44" t="n">
        <x:v>0.3</x:v>
      </x:c>
      <x:c r="H6" s="28">
        <x:f>COUNTIF(Sales_Raw_Opportunities!F:F,G6)</x:f>
        <x:v>1</x:v>
      </x:c>
      <x:c r="I6" s="6" t="inlineStr">
        <x:is>
          <x:t xml:space="preserve">Auto-count from raw opportunities</x:t>
        </x:is>
      </x:c>
    </x:row>
    <x:row r="7">
      <x:c r="A7" s="31" t="inlineStr">
        <x:is>
          <x:t xml:space="preserve">Proposals Submitted</x:t>
        </x:is>
      </x:c>
      <x:c r="B7" s="38">
        <x:f>COUNTIF(Sales_Raw_Opportunities!H:H,"Submitted")</x:f>
        <x:v>17</x:v>
      </x:c>
      <x:c r="C7" s="38">
        <x:f>SUMIF(Sales_Raw_Opportunities!H:H,"Submitted",Sales_Raw_Opportunities!E:E)</x:f>
        <x:v>3275000</x:v>
      </x:c>
      <x:c r="D7" s="38">
        <x:f>COUNTIFS(Sales_Raw_Opportunities!H:H,"Submitted",Sales_Raw_Opportunities!D:D,"Apr 2026")</x:f>
        <x:v>0</x:v>
      </x:c>
      <x:c r="E7" s="43" t="inlineStr">
        <x:is>
          <x:t xml:space="preserve">Derived from submitted opportunities</x:t>
        </x:is>
      </x:c>
      <x:c r="F7" s="38" t="n">
        <x:v>2</x:v>
      </x:c>
      <x:c r="G7" s="44" t="n">
        <x:v>0.4</x:v>
      </x:c>
      <x:c r="H7" s="28">
        <x:f>COUNTIF(Sales_Raw_Opportunities!F:F,G7)</x:f>
        <x:v>1</x:v>
      </x:c>
      <x:c r="I7" s="6" t="inlineStr">
        <x:is>
          <x:t xml:space="preserve">Auto-count from raw opportunities</x:t>
        </x:is>
      </x:c>
    </x:row>
    <x:row r="8">
      <x:c r="A8" s="31" t="inlineStr">
        <x:is>
          <x:t xml:space="preserve">Won This Year</x:t>
        </x:is>
      </x:c>
      <x:c r="B8" s="38">
        <x:f>COUNTIF(Sales_Raw_Opportunities!H:H,"Won")</x:f>
        <x:v>2</x:v>
      </x:c>
      <x:c r="C8" s="38">
        <x:f>SUMIF(Sales_Raw_Opportunities!H:H,"Won",Sales_Raw_Opportunities!E:E)</x:f>
        <x:v>50000</x:v>
      </x:c>
      <x:c r="D8" s="38">
        <x:f>COUNTIFS(Sales_Raw_Opportunities!H:H,"Won",Sales_Raw_Opportunities!D:D,"Apr 2026")</x:f>
        <x:v>0</x:v>
      </x:c>
      <x:c r="E8" s="43" t="inlineStr">
        <x:is>
          <x:t xml:space="preserve">Derived from won opportunities</x:t>
        </x:is>
      </x:c>
      <x:c r="F8" s="38" t="n">
        <x:v>0</x:v>
      </x:c>
      <x:c r="G8" s="44" t="n">
        <x:v>0.5</x:v>
      </x:c>
      <x:c r="H8" s="28">
        <x:f>COUNTIF(Sales_Raw_Opportunities!F:F,G8)</x:f>
        <x:v>8</x:v>
      </x:c>
      <x:c r="I8" s="6" t="inlineStr">
        <x:is>
          <x:t xml:space="preserve">Auto-count from raw opportunities</x:t>
        </x:is>
      </x:c>
    </x:row>
    <x:row r="9">
      <x:c r="A9" s="50" t="inlineStr">
        <x:is>
          <x:t xml:space="preserve">Sales Funnel</x:t>
        </x:is>
      </x:c>
      <x:c r="G9" s="45" t="n"/>
      <x:c r="H9" s="28" t="n"/>
      <x:c r="I9" s="6" t="inlineStr">
        <x:is>
          <x:t xml:space="preserve">Auto-count from raw opportunities</x:t>
        </x:is>
      </x:c>
    </x:row>
    <x:row r="10">
      <x:c r="A10" s="30" t="inlineStr">
        <x:is>
          <x:t xml:space="preserve">Stage</x:t>
        </x:is>
      </x:c>
      <x:c r="B10" s="30" t="inlineStr">
        <x:is>
          <x:t xml:space="preserve">Count</x:t>
        </x:is>
      </x:c>
      <x:c r="C10" s="30" t="inlineStr">
        <x:is>
          <x:t xml:space="preserve">Value_SAR</x:t>
        </x:is>
      </x:c>
      <x:c r="D10" s="30" t="inlineStr">
        <x:is>
          <x:t xml:space="preserve">Conversion_Rate</x:t>
        </x:is>
      </x:c>
      <x:c r="E10" s="30" t="inlineStr">
        <x:is>
          <x:t xml:space="preserve">Note</x:t>
        </x:is>
      </x:c>
      <x:c r="G10" s="45" t="n"/>
      <x:c r="H10" s="28" t="n"/>
      <x:c r="I10" s="6" t="inlineStr">
        <x:is>
          <x:t xml:space="preserve">Auto-count from raw opportunities</x:t>
        </x:is>
      </x:c>
    </x:row>
    <x:row r="11">
      <x:c r="A11" s="31" t="inlineStr">
        <x:is>
          <x:t xml:space="preserve">LEADS</x:t>
        </x:is>
      </x:c>
      <x:c r="B11" s="41">
        <x:f>B5</x:f>
        <x:v>9</x:v>
      </x:c>
      <x:c r="C11" s="41">
        <x:f>C5</x:f>
        <x:v>3700000</x:v>
      </x:c>
      <x:c r="D11" s="21" t="n">
        <x:v>1</x:v>
      </x:c>
      <x:c r="E11" s="33" t="inlineStr">
        <x:is>
          <x:t xml:space="preserve">From KPI table</x:t>
        </x:is>
      </x:c>
      <x:c r="G11" s="45" t="n"/>
      <x:c r="H11" s="28" t="n"/>
      <x:c r="I11" s="6" t="inlineStr">
        <x:is>
          <x:t xml:space="preserve">Auto-count from raw opportunities</x:t>
        </x:is>
      </x:c>
    </x:row>
    <x:row r="12">
      <x:c r="A12" s="31" t="inlineStr">
        <x:is>
          <x:t xml:space="preserve">ACTIVE PROPOSALS</x:t>
        </x:is>
      </x:c>
      <x:c r="B12" s="41">
        <x:f>B6</x:f>
        <x:v>9</x:v>
      </x:c>
      <x:c r="C12" s="41">
        <x:f>C6</x:f>
        <x:v>2095000</x:v>
      </x:c>
      <x:c r="D12" s="21">
        <x:f>IFERROR(B12/B11,0)</x:f>
        <x:v>1</x:v>
      </x:c>
      <x:c r="E12" s="33" t="inlineStr">
        <x:is>
          <x:t xml:space="preserve">From KPI table</x:t>
        </x:is>
      </x:c>
      <x:c r="G12" s="45" t="n"/>
      <x:c r="H12" s="28" t="n"/>
      <x:c r="I12" s="6" t="inlineStr">
        <x:is>
          <x:t xml:space="preserve">Auto-count from raw opportunities</x:t>
        </x:is>
      </x:c>
    </x:row>
    <x:row r="13">
      <x:c r="A13" s="31" t="inlineStr">
        <x:is>
          <x:t xml:space="preserve">SUBMITTED</x:t>
        </x:is>
      </x:c>
      <x:c r="B13" s="41">
        <x:f>B7</x:f>
        <x:v>17</x:v>
      </x:c>
      <x:c r="C13" s="41">
        <x:f>C7</x:f>
        <x:v>3275000</x:v>
      </x:c>
      <x:c r="D13" s="33" t="n"/>
      <x:c r="E13" s="33" t="inlineStr">
        <x:is>
          <x:t xml:space="preserve">Separate dashboard bucket</x:t>
        </x:is>
      </x:c>
      <x:c r="G13" s="45" t="n"/>
      <x:c r="H13" s="28" t="n"/>
      <x:c r="I13" s="6" t="inlineStr">
        <x:is>
          <x:t xml:space="preserve">Auto-count from raw opportunities</x:t>
        </x:is>
      </x:c>
    </x:row>
    <x:row r="14">
      <x:c r="A14" s="31" t="inlineStr">
        <x:is>
          <x:t xml:space="preserve">WON</x:t>
        </x:is>
      </x:c>
      <x:c r="B14" s="41">
        <x:f>B8</x:f>
        <x:v>2</x:v>
      </x:c>
      <x:c r="C14" s="41">
        <x:f>C8</x:f>
        <x:v>50000</x:v>
      </x:c>
      <x:c r="D14" s="21">
        <x:f>IFERROR(B14/B13,0)</x:f>
        <x:v>0.11764705882352941</x:v>
      </x:c>
      <x:c r="E14" s="33" t="inlineStr">
        <x:is>
          <x:t xml:space="preserve">From KPI table</x:t>
        </x:is>
      </x:c>
      <x:c r="G14" s="45" t="n"/>
      <x:c r="H14" s="28" t="n"/>
      <x:c r="I14" s="6" t="inlineStr">
        <x:is>
          <x:t xml:space="preserve">Auto-count from raw opportunities</x:t>
        </x:is>
      </x:c>
    </x:row>
    <x:row r="15">
      <x:c r="A15" s="50" t="inlineStr">
        <x:is>
          <x:t xml:space="preserve">Top Clients by Proposal Value</x:t>
        </x:is>
      </x:c>
    </x:row>
    <x:row r="16">
      <x:c r="A16" s="50" t="inlineStr">
        <x:is>
          <x:t xml:space="preserve">Stage Detail Feed</x:t>
        </x:is>
      </x:c>
      <x:c r="G16" s="25" t="inlineStr">
        <x:is>
          <x:t xml:space="preserve">Rank</x:t>
        </x:is>
      </x:c>
      <x:c r="H16" s="25" t="inlineStr">
        <x:is>
          <x:t xml:space="preserve">Client</x:t>
        </x:is>
      </x:c>
      <x:c r="I16" s="25" t="inlineStr">
        <x:is>
          <x:t xml:space="preserve">Total_Value_SAR</x:t>
        </x:is>
      </x:c>
    </x:row>
    <x:row r="17">
      <x:c r="A17" s="30" t="inlineStr">
        <x:is>
          <x:t xml:space="preserve">Sales_Stage_Details</x:t>
        </x:is>
      </x:c>
      <x:c r="B17" s="30" t="inlineStr">
        <x:is>
          <x:t xml:space="preserve">Use the new Sales_Stage_Details sheet for client-level This Month / This Week breakdown shown in the dashboard.</x:t>
        </x:is>
      </x:c>
      <x:c r="G17" s="5" t="n">
        <x:v>1</x:v>
      </x:c>
      <x:c r="H17" s="46" t="inlineStr">
        <x:is>
          <x:t xml:space="preserve">Tadawul Group</x:t>
        </x:is>
      </x:c>
      <x:c r="I17" s="28">
        <x:f>SUMIF(Sales_Raw_Opportunities!A:A,H17,Sales_Raw_Opportunities!E:E)</x:f>
        <x:v>695000</x:v>
      </x:c>
    </x:row>
    <x:row r="18">
      <x:c r="A18" s="31" t="n"/>
      <x:c r="B18" s="42" t="n"/>
      <x:c r="G18" s="5" t="n"/>
      <x:c r="H18" s="46" t="n"/>
      <x:c r="I18" s="28" t="n"/>
    </x:row>
    <x:row r="19">
      <x:c r="A19" s="31" t="n"/>
      <x:c r="B19" s="42" t="n"/>
      <x:c r="G19" s="5" t="n"/>
      <x:c r="H19" s="46" t="n"/>
      <x:c r="I19" s="28" t="n"/>
    </x:row>
    <x:row r="20">
      <x:c r="A20" s="31" t="n"/>
      <x:c r="B20" s="42" t="n"/>
      <x:c r="G20" s="5" t="n"/>
      <x:c r="H20" s="46" t="n"/>
      <x:c r="I20" s="28" t="n"/>
    </x:row>
    <x:row r="21" s="47" customFormat="1" ht="15.75" customHeight="1">
      <x:c r="A21" s="31" t="n"/>
      <x:c r="B21" s="42" t="n"/>
      <x:c r="G21" s="5" t="n"/>
      <x:c r="H21" s="46" t="n"/>
      <x:c r="I21" s="28" t="n"/>
    </x:row>
    <x:row r="22" s="47" customFormat="1" ht="15.75" customHeight="1">
      <x:c r="G22" s="5" t="n"/>
      <x:c r="H22" s="46" t="n"/>
      <x:c r="I22" s="28" t="n"/>
    </x:row>
    <x:row r="23" s="47" customFormat="1" ht="15.75" customHeight="1">
      <x:c r="G23" s="5" t="n"/>
      <x:c r="H23" s="46" t="n"/>
      <x:c r="I23" s="28" t="n"/>
    </x:row>
    <x:row r="24" s="47" customFormat="1" ht="15.75" customHeight="1">
      <x:c r="A24" s="5" t="n"/>
      <x:c r="G24" s="5" t="n"/>
      <x:c r="H24" s="46" t="n"/>
      <x:c r="I24" s="28" t="n"/>
    </x:row>
    <x:row r="25" s="47" customFormat="1" ht="15.75" customHeight="1">
      <x:c r="A25" s="6" t="inlineStr">
        <x:is>
          <x:t xml:space="preserve">Submitted proposals are stored in Sales_Raw_Opportunities.</x:t>
        </x:is>
      </x:c>
    </x:row>
    <x:row r="26" s="47" customFormat="1" ht="15.75" customHeight="1">
      <x:c r="A26" s="6" t="inlineStr">
        <x:is>
          <x:t xml:space="preserve">Operations readiness items are stored in Sales_Raw_Operations.</x:t>
        </x:is>
      </x:c>
    </x:row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mergeCells>
    <x:mergeCell ref="A16:B16"/>
    <x:mergeCell ref="A3:G3"/>
    <x:mergeCell ref="A2:H2"/>
    <x:mergeCell ref="A1:H1"/>
    <x:mergeCell ref="A15:C15"/>
    <x:mergeCell ref="A9:E9"/>
  </x:mergeCells>
  <x:pageMargins left="0.7" right="0.7" top="0.75" bottom="0.75" header="0.3" footer="0.3"/>
  <x:legacyDrawing xmlns:r="http://schemas.openxmlformats.org/officeDocument/2006/relationships" r:id="R7704bddea814468b"/>
</x:worksheet>
</file>

<file path=xl/worksheets/sheet10.xml><?xml version="1.0" encoding="utf-8"?>
<x:worksheet xmlns:x="http://schemas.openxmlformats.org/spreadsheetml/2006/main">
  <x:sheetFormatPr baseColWidth="8" defaultColWidth="14.430000305175781" defaultRowHeight="15"/>
  <x:cols>
    <x:col min="1" max="26" width="8.710000038146973" style="47" customWidth="1"/>
  </x:cols>
  <x:sheetData>
    <x:row r="1">
      <x:c r="A1" s="6" t="inlineStr">
        <x:is>
          <x:t xml:space="preserve">Lead</x:t>
        </x:is>
      </x:c>
      <x:c r="B1" s="6" t="inlineStr">
        <x:is>
          <x:t xml:space="preserve">Completed</x:t>
        </x:is>
      </x:c>
    </x:row>
    <x:row r="2">
      <x:c r="A2" s="6" t="inlineStr">
        <x:is>
          <x:t xml:space="preserve">Active Proposal</x:t>
        </x:is>
      </x:c>
      <x:c r="B2" s="6" t="inlineStr">
        <x:is>
          <x:t xml:space="preserve">In Process</x:t>
        </x:is>
      </x:c>
    </x:row>
    <x:row r="3">
      <x:c r="A3" s="6" t="inlineStr">
        <x:is>
          <x:t xml:space="preserve">Submitted</x:t>
        </x:is>
      </x:c>
      <x:c r="B3" s="6" t="inlineStr">
        <x:is>
          <x:t xml:space="preserve">Pending</x:t>
        </x:is>
      </x:c>
    </x:row>
    <x:row r="4">
      <x:c r="A4" s="6" t="inlineStr">
        <x:is>
          <x:t xml:space="preserve">Won</x:t>
        </x:is>
      </x:c>
    </x:row>
    <x:row r="5">
      <x:c r="A5" s="6" t="inlineStr">
        <x:is>
          <x:t xml:space="preserve">Lost</x:t>
        </x:is>
      </x:c>
    </x:row>
    <x:row r="6">
      <x:c r="A6" s="6" t="inlineStr">
        <x:is>
          <x:t xml:space="preserve">On Hold</x:t>
        </x:is>
      </x:c>
    </x:row>
    <x:row r="21" s="47" customFormat="1" ht="15.75" customHeight="1"/>
    <x:row r="22" s="47" customFormat="1" ht="15.75" customHeight="1"/>
    <x:row r="23" s="47" customFormat="1" ht="15.75" customHeight="1"/>
    <x:row r="24" s="47" customFormat="1" ht="15.75" customHeight="1"/>
    <x:row r="25" s="47" customFormat="1" ht="15.75" customHeight="1"/>
    <x:row r="26" s="47" customFormat="1" ht="15.75" customHeight="1"/>
    <x:row r="27" s="47" customFormat="1" ht="15.75" customHeight="1"/>
    <x:row r="28" s="47" customFormat="1" ht="15.75" customHeight="1"/>
    <x:row r="29" s="47" customFormat="1" ht="15.75" customHeight="1"/>
    <x:row r="30" s="47" customFormat="1" ht="15.75" customHeight="1"/>
    <x:row r="31" s="47" customFormat="1" ht="15.75" customHeight="1"/>
    <x:row r="32" s="47" customFormat="1" ht="15.75" customHeight="1"/>
    <x:row r="33" s="47" customFormat="1" ht="15.75" customHeight="1"/>
    <x:row r="34" s="47" customFormat="1" ht="15.75" customHeight="1"/>
    <x:row r="35" s="47" customFormat="1" ht="15.75" customHeight="1"/>
    <x:row r="36" s="47" customFormat="1" ht="15.75" customHeight="1"/>
    <x:row r="37" s="47" customFormat="1" ht="15.75" customHeight="1"/>
    <x:row r="38" s="47" customFormat="1" ht="15.75" customHeight="1"/>
    <x:row r="39" s="47" customFormat="1" ht="15.75" customHeight="1"/>
    <x:row r="40" s="47" customFormat="1" ht="15.75" customHeight="1"/>
    <x:row r="41" s="47" customFormat="1" ht="15.75" customHeight="1"/>
    <x:row r="42" s="47" customFormat="1" ht="15.75" customHeight="1"/>
    <x:row r="43" s="47" customFormat="1" ht="15.75" customHeight="1"/>
    <x:row r="44" s="47" customFormat="1" ht="15.75" customHeight="1"/>
    <x:row r="45" s="47" customFormat="1" ht="15.75" customHeight="1"/>
    <x:row r="46" s="47" customFormat="1" ht="15.75" customHeight="1"/>
    <x:row r="47" s="47" customFormat="1" ht="15.75" customHeight="1"/>
    <x:row r="48" s="47" customFormat="1" ht="15.75" customHeight="1"/>
    <x:row r="49" s="47" customFormat="1" ht="15.75" customHeight="1"/>
    <x:row r="50" s="47" customFormat="1" ht="15.75" customHeight="1"/>
    <x:row r="51" s="47" customFormat="1" ht="15.75" customHeight="1"/>
    <x:row r="52" s="47" customFormat="1" ht="15.75" customHeight="1"/>
    <x:row r="53" s="47" customFormat="1" ht="15.75" customHeight="1"/>
    <x:row r="54" s="47" customFormat="1" ht="15.75" customHeight="1"/>
    <x:row r="55" s="47" customFormat="1" ht="15.75" customHeight="1"/>
    <x:row r="56" s="47" customFormat="1" ht="15.75" customHeight="1"/>
    <x:row r="57" s="47" customFormat="1" ht="15.75" customHeight="1"/>
    <x:row r="58" s="47" customFormat="1" ht="15.75" customHeight="1"/>
    <x:row r="59" s="47" customFormat="1" ht="15.75" customHeight="1"/>
    <x:row r="60" s="47" customFormat="1" ht="15.75" customHeight="1"/>
    <x:row r="61" s="47" customFormat="1" ht="15.75" customHeight="1"/>
    <x:row r="62" s="47" customFormat="1" ht="15.75" customHeight="1"/>
    <x:row r="63" s="47" customFormat="1" ht="15.75" customHeight="1"/>
    <x:row r="64" s="47" customFormat="1" ht="15.75" customHeight="1"/>
    <x:row r="65" s="47" customFormat="1" ht="15.75" customHeight="1"/>
    <x:row r="66" s="47" customFormat="1" ht="15.75" customHeight="1"/>
    <x:row r="67" s="47" customFormat="1" ht="15.75" customHeight="1"/>
    <x:row r="68" s="47" customFormat="1" ht="15.75" customHeight="1"/>
    <x:row r="69" s="47" customFormat="1" ht="15.75" customHeight="1"/>
    <x:row r="70" s="47" customFormat="1" ht="15.75" customHeight="1"/>
    <x:row r="71" s="47" customFormat="1" ht="15.75" customHeight="1"/>
    <x:row r="72" s="47" customFormat="1" ht="15.75" customHeight="1"/>
    <x:row r="73" s="47" customFormat="1" ht="15.75" customHeight="1"/>
    <x:row r="74" s="47" customFormat="1" ht="15.75" customHeight="1"/>
    <x:row r="75" s="47" customFormat="1" ht="15.75" customHeight="1"/>
    <x:row r="76" s="47" customFormat="1" ht="15.75" customHeight="1"/>
    <x:row r="77" s="47" customFormat="1" ht="15.75" customHeight="1"/>
    <x:row r="78" s="47" customFormat="1" ht="15.75" customHeight="1"/>
    <x:row r="79" s="47" customFormat="1" ht="15.75" customHeight="1"/>
    <x:row r="80" s="47" customFormat="1" ht="15.75" customHeight="1"/>
    <x:row r="81" s="47" customFormat="1" ht="15.75" customHeight="1"/>
    <x:row r="82" s="47" customFormat="1" ht="15.75" customHeight="1"/>
    <x:row r="83" s="47" customFormat="1" ht="15.75" customHeight="1"/>
    <x:row r="84" s="47" customFormat="1" ht="15.75" customHeight="1"/>
    <x:row r="85" s="47" customFormat="1" ht="15.75" customHeight="1"/>
    <x:row r="86" s="47" customFormat="1" ht="15.75" customHeight="1"/>
    <x:row r="87" s="47" customFormat="1" ht="15.75" customHeight="1"/>
    <x:row r="88" s="47" customFormat="1" ht="15.75" customHeight="1"/>
    <x:row r="89" s="47" customFormat="1" ht="15.75" customHeight="1"/>
    <x:row r="90" s="47" customFormat="1" ht="15.75" customHeight="1"/>
    <x:row r="91" s="47" customFormat="1" ht="15.75" customHeight="1"/>
    <x:row r="92" s="47" customFormat="1" ht="15.75" customHeight="1"/>
    <x:row r="93" s="47" customFormat="1" ht="15.75" customHeight="1"/>
    <x:row r="94" s="47" customFormat="1" ht="15.75" customHeight="1"/>
    <x:row r="95" s="47" customFormat="1" ht="15.75" customHeight="1"/>
    <x:row r="96" s="47" customFormat="1" ht="15.75" customHeight="1"/>
    <x:row r="97" s="47" customFormat="1" ht="15.75" customHeight="1"/>
    <x:row r="98" s="47" customFormat="1" ht="15.75" customHeight="1"/>
    <x:row r="99" s="47" customFormat="1" ht="15.75" customHeight="1"/>
    <x:row r="100" s="47" customFormat="1" ht="15.75" customHeight="1"/>
    <x:row r="101" s="47" customFormat="1" ht="15.75" customHeight="1"/>
    <x:row r="102" s="47" customFormat="1" ht="15.75" customHeight="1"/>
    <x:row r="103" s="47" customFormat="1" ht="15.75" customHeight="1"/>
    <x:row r="104" s="47" customFormat="1" ht="15.75" customHeight="1"/>
    <x:row r="105" s="47" customFormat="1" ht="15.75" customHeight="1"/>
    <x:row r="106" s="47" customFormat="1" ht="15.75" customHeight="1"/>
    <x:row r="107" s="47" customFormat="1" ht="15.75" customHeight="1"/>
    <x:row r="108" s="47" customFormat="1" ht="15.75" customHeight="1"/>
    <x:row r="109" s="47" customFormat="1" ht="15.75" customHeight="1"/>
    <x:row r="110" s="47" customFormat="1" ht="15.75" customHeight="1"/>
    <x:row r="111" s="47" customFormat="1" ht="15.75" customHeight="1"/>
    <x:row r="112" s="47" customFormat="1" ht="15.75" customHeight="1"/>
    <x:row r="113" s="47" customFormat="1" ht="15.75" customHeight="1"/>
    <x:row r="114" s="47" customFormat="1" ht="15.75" customHeight="1"/>
    <x:row r="115" s="47" customFormat="1" ht="15.75" customHeight="1"/>
    <x:row r="116" s="47" customFormat="1" ht="15.75" customHeight="1"/>
    <x:row r="117" s="47" customFormat="1" ht="15.75" customHeight="1"/>
    <x:row r="118" s="47" customFormat="1" ht="15.75" customHeight="1"/>
    <x:row r="119" s="47" customFormat="1" ht="15.75" customHeight="1"/>
    <x:row r="120" s="47" customFormat="1" ht="15.75" customHeight="1"/>
    <x:row r="121" s="47" customFormat="1" ht="15.75" customHeight="1"/>
    <x:row r="122" s="47" customFormat="1" ht="15.75" customHeight="1"/>
    <x:row r="123" s="47" customFormat="1" ht="15.75" customHeight="1"/>
    <x:row r="124" s="47" customFormat="1" ht="15.75" customHeight="1"/>
    <x:row r="125" s="47" customFormat="1" ht="15.75" customHeight="1"/>
    <x:row r="126" s="47" customFormat="1" ht="15.75" customHeight="1"/>
    <x:row r="127" s="47" customFormat="1" ht="15.75" customHeight="1"/>
    <x:row r="128" s="47" customFormat="1" ht="15.75" customHeight="1"/>
    <x:row r="129" s="47" customFormat="1" ht="15.75" customHeight="1"/>
    <x:row r="130" s="47" customFormat="1" ht="15.75" customHeight="1"/>
    <x:row r="131" s="47" customFormat="1" ht="15.75" customHeight="1"/>
    <x:row r="132" s="47" customFormat="1" ht="15.75" customHeight="1"/>
    <x:row r="133" s="47" customFormat="1" ht="15.75" customHeight="1"/>
    <x:row r="134" s="47" customFormat="1" ht="15.75" customHeight="1"/>
    <x:row r="135" s="47" customFormat="1" ht="15.75" customHeight="1"/>
    <x:row r="136" s="47" customFormat="1" ht="15.75" customHeight="1"/>
    <x:row r="137" s="47" customFormat="1" ht="15.75" customHeight="1"/>
    <x:row r="138" s="47" customFormat="1" ht="15.75" customHeight="1"/>
    <x:row r="139" s="47" customFormat="1" ht="15.75" customHeight="1"/>
    <x:row r="140" s="47" customFormat="1" ht="15.75" customHeight="1"/>
    <x:row r="141" s="47" customFormat="1" ht="15.75" customHeight="1"/>
    <x:row r="142" s="47" customFormat="1" ht="15.75" customHeight="1"/>
    <x:row r="143" s="47" customFormat="1" ht="15.75" customHeight="1"/>
    <x:row r="144" s="47" customFormat="1" ht="15.75" customHeight="1"/>
    <x:row r="145" s="47" customFormat="1" ht="15.75" customHeight="1"/>
    <x:row r="146" s="47" customFormat="1" ht="15.75" customHeight="1"/>
    <x:row r="147" s="47" customFormat="1" ht="15.75" customHeight="1"/>
    <x:row r="148" s="47" customFormat="1" ht="15.75" customHeight="1"/>
    <x:row r="149" s="47" customFormat="1" ht="15.75" customHeight="1"/>
    <x:row r="150" s="47" customFormat="1" ht="15.75" customHeight="1"/>
    <x:row r="151" s="47" customFormat="1" ht="15.75" customHeight="1"/>
    <x:row r="152" s="47" customFormat="1" ht="15.75" customHeight="1"/>
    <x:row r="153" s="47" customFormat="1" ht="15.75" customHeight="1"/>
    <x:row r="154" s="47" customFormat="1" ht="15.75" customHeight="1"/>
    <x:row r="155" s="47" customFormat="1" ht="15.75" customHeight="1"/>
    <x:row r="156" s="47" customFormat="1" ht="15.75" customHeight="1"/>
    <x:row r="157" s="47" customFormat="1" ht="15.75" customHeight="1"/>
    <x:row r="158" s="47" customFormat="1" ht="15.75" customHeight="1"/>
    <x:row r="159" s="47" customFormat="1" ht="15.75" customHeight="1"/>
    <x:row r="160" s="47" customFormat="1" ht="15.75" customHeight="1"/>
    <x:row r="161" s="47" customFormat="1" ht="15.75" customHeight="1"/>
    <x:row r="162" s="47" customFormat="1" ht="15.75" customHeight="1"/>
    <x:row r="163" s="47" customFormat="1" ht="15.75" customHeight="1"/>
    <x:row r="164" s="47" customFormat="1" ht="15.75" customHeight="1"/>
    <x:row r="165" s="47" customFormat="1" ht="15.75" customHeight="1"/>
    <x:row r="166" s="47" customFormat="1" ht="15.75" customHeight="1"/>
    <x:row r="167" s="47" customFormat="1" ht="15.75" customHeight="1"/>
    <x:row r="168" s="47" customFormat="1" ht="15.75" customHeight="1"/>
    <x:row r="169" s="47" customFormat="1" ht="15.75" customHeight="1"/>
    <x:row r="170" s="47" customFormat="1" ht="15.75" customHeight="1"/>
    <x:row r="171" s="47" customFormat="1" ht="15.75" customHeight="1"/>
    <x:row r="172" s="47" customFormat="1" ht="15.75" customHeight="1"/>
    <x:row r="173" s="47" customFormat="1" ht="15.75" customHeight="1"/>
    <x:row r="174" s="47" customFormat="1" ht="15.75" customHeight="1"/>
    <x:row r="175" s="47" customFormat="1" ht="15.75" customHeight="1"/>
    <x:row r="176" s="47" customFormat="1" ht="15.75" customHeight="1"/>
    <x:row r="177" s="47" customFormat="1" ht="15.75" customHeight="1"/>
    <x:row r="178" s="47" customFormat="1" ht="15.75" customHeight="1"/>
    <x:row r="179" s="47" customFormat="1" ht="15.75" customHeight="1"/>
    <x:row r="180" s="47" customFormat="1" ht="15.75" customHeight="1"/>
    <x:row r="181" s="47" customFormat="1" ht="15.75" customHeight="1"/>
    <x:row r="182" s="47" customFormat="1" ht="15.75" customHeight="1"/>
    <x:row r="183" s="47" customFormat="1" ht="15.75" customHeight="1"/>
    <x:row r="184" s="47" customFormat="1" ht="15.75" customHeight="1"/>
    <x:row r="185" s="47" customFormat="1" ht="15.75" customHeight="1"/>
    <x:row r="186" s="47" customFormat="1" ht="15.75" customHeight="1"/>
    <x:row r="187" s="47" customFormat="1" ht="15.75" customHeight="1"/>
    <x:row r="188" s="47" customFormat="1" ht="15.75" customHeight="1"/>
    <x:row r="189" s="47" customFormat="1" ht="15.75" customHeight="1"/>
    <x:row r="190" s="47" customFormat="1" ht="15.75" customHeight="1"/>
    <x:row r="191" s="47" customFormat="1" ht="15.75" customHeight="1"/>
    <x:row r="192" s="47" customFormat="1" ht="15.75" customHeight="1"/>
    <x:row r="193" s="47" customFormat="1" ht="15.75" customHeight="1"/>
    <x:row r="194" s="47" customFormat="1" ht="15.75" customHeight="1"/>
    <x:row r="195" s="47" customFormat="1" ht="15.75" customHeight="1"/>
    <x:row r="196" s="47" customFormat="1" ht="15.75" customHeight="1"/>
    <x:row r="197" s="47" customFormat="1" ht="15.75" customHeight="1"/>
    <x:row r="198" s="47" customFormat="1" ht="15.75" customHeight="1"/>
    <x:row r="199" s="47" customFormat="1" ht="15.75" customHeight="1"/>
    <x:row r="200" s="47" customFormat="1" ht="15.75" customHeight="1"/>
    <x:row r="201" s="47" customFormat="1" ht="15.75" customHeight="1"/>
    <x:row r="202" s="47" customFormat="1" ht="15.75" customHeight="1"/>
    <x:row r="203" s="47" customFormat="1" ht="15.75" customHeight="1"/>
    <x:row r="204" s="47" customFormat="1" ht="15.75" customHeight="1"/>
    <x:row r="205" s="47" customFormat="1" ht="15.75" customHeight="1"/>
    <x:row r="206" s="47" customFormat="1" ht="15.75" customHeight="1"/>
    <x:row r="207" s="47" customFormat="1" ht="15.75" customHeight="1"/>
    <x:row r="208" s="47" customFormat="1" ht="15.75" customHeight="1"/>
    <x:row r="209" s="47" customFormat="1" ht="15.75" customHeight="1"/>
    <x:row r="210" s="47" customFormat="1" ht="15.75" customHeight="1"/>
    <x:row r="211" s="47" customFormat="1" ht="15.75" customHeight="1"/>
    <x:row r="212" s="47" customFormat="1" ht="15.75" customHeight="1"/>
    <x:row r="213" s="47" customFormat="1" ht="15.75" customHeight="1"/>
    <x:row r="214" s="47" customFormat="1" ht="15.75" customHeight="1"/>
    <x:row r="215" s="47" customFormat="1" ht="15.75" customHeight="1"/>
    <x:row r="216" s="47" customFormat="1" ht="15.75" customHeight="1"/>
    <x:row r="217" s="47" customFormat="1" ht="15.75" customHeight="1"/>
    <x:row r="218" s="47" customFormat="1" ht="15.75" customHeight="1"/>
    <x:row r="219" s="47" customFormat="1" ht="15.75" customHeight="1"/>
    <x:row r="220" s="47" customFormat="1" ht="15.75" customHeight="1"/>
    <x:row r="221" s="47" customFormat="1" ht="15.75" customHeight="1"/>
    <x:row r="222" s="47" customFormat="1" ht="15.75" customHeight="1"/>
    <x:row r="223" s="47" customFormat="1" ht="15.75" customHeight="1"/>
    <x:row r="224" s="47" customFormat="1" ht="15.75" customHeight="1"/>
    <x:row r="225" s="47" customFormat="1" ht="15.75" customHeight="1"/>
    <x:row r="226" s="47" customFormat="1" ht="15.75" customHeight="1"/>
    <x:row r="227" s="47" customFormat="1" ht="15.75" customHeight="1"/>
    <x:row r="228" s="47" customFormat="1" ht="15.75" customHeight="1"/>
    <x:row r="229" s="47" customFormat="1" ht="15.75" customHeight="1"/>
    <x:row r="230" s="47" customFormat="1" ht="15.75" customHeight="1"/>
    <x:row r="231" s="47" customFormat="1" ht="15.75" customHeight="1"/>
    <x:row r="232" s="47" customFormat="1" ht="15.75" customHeight="1"/>
    <x:row r="233" s="47" customFormat="1" ht="15.75" customHeight="1"/>
    <x:row r="234" s="47" customFormat="1" ht="15.75" customHeight="1"/>
    <x:row r="235" s="47" customFormat="1" ht="15.75" customHeight="1"/>
    <x:row r="236" s="47" customFormat="1" ht="15.75" customHeight="1"/>
    <x:row r="237" s="47" customFormat="1" ht="15.75" customHeight="1"/>
    <x:row r="238" s="47" customFormat="1" ht="15.75" customHeight="1"/>
    <x:row r="239" s="47" customFormat="1" ht="15.75" customHeight="1"/>
    <x:row r="240" s="47" customFormat="1" ht="15.75" customHeight="1"/>
    <x:row r="241" s="47" customFormat="1" ht="15.75" customHeight="1"/>
    <x:row r="242" s="47" customFormat="1" ht="15.75" customHeight="1"/>
    <x:row r="243" s="47" customFormat="1" ht="15.75" customHeight="1"/>
    <x:row r="244" s="47" customFormat="1" ht="15.75" customHeight="1"/>
    <x:row r="245" s="47" customFormat="1" ht="15.75" customHeight="1"/>
    <x:row r="246" s="47" customFormat="1" ht="15.75" customHeight="1"/>
    <x:row r="247" s="47" customFormat="1" ht="15.75" customHeight="1"/>
    <x:row r="248" s="47" customFormat="1" ht="15.75" customHeight="1"/>
    <x:row r="249" s="47" customFormat="1" ht="15.75" customHeight="1"/>
    <x:row r="250" s="47" customFormat="1" ht="15.75" customHeight="1"/>
    <x:row r="251" s="47" customFormat="1" ht="15.75" customHeight="1"/>
    <x:row r="252" s="47" customFormat="1" ht="15.75" customHeight="1"/>
    <x:row r="253" s="47" customFormat="1" ht="15.75" customHeight="1"/>
    <x:row r="254" s="47" customFormat="1" ht="15.75" customHeight="1"/>
    <x:row r="255" s="47" customFormat="1" ht="15.75" customHeight="1"/>
    <x:row r="256" s="47" customFormat="1" ht="15.75" customHeight="1"/>
    <x:row r="257" s="47" customFormat="1" ht="15.75" customHeight="1"/>
    <x:row r="258" s="47" customFormat="1" ht="15.75" customHeight="1"/>
    <x:row r="259" s="47" customFormat="1" ht="15.75" customHeight="1"/>
    <x:row r="260" s="47" customFormat="1" ht="15.75" customHeight="1"/>
    <x:row r="261" s="47" customFormat="1" ht="15.75" customHeight="1"/>
    <x:row r="262" s="47" customFormat="1" ht="15.75" customHeight="1"/>
    <x:row r="263" s="47" customFormat="1" ht="15.75" customHeight="1"/>
    <x:row r="264" s="47" customFormat="1" ht="15.75" customHeight="1"/>
    <x:row r="265" s="47" customFormat="1" ht="15.75" customHeight="1"/>
    <x:row r="266" s="47" customFormat="1" ht="15.75" customHeight="1"/>
    <x:row r="267" s="47" customFormat="1" ht="15.75" customHeight="1"/>
    <x:row r="268" s="47" customFormat="1" ht="15.75" customHeight="1"/>
    <x:row r="269" s="47" customFormat="1" ht="15.75" customHeight="1"/>
    <x:row r="270" s="47" customFormat="1" ht="15.75" customHeight="1"/>
    <x:row r="271" s="47" customFormat="1" ht="15.75" customHeight="1"/>
    <x:row r="272" s="47" customFormat="1" ht="15.75" customHeight="1"/>
    <x:row r="273" s="47" customFormat="1" ht="15.75" customHeight="1"/>
    <x:row r="274" s="47" customFormat="1" ht="15.75" customHeight="1"/>
    <x:row r="275" s="47" customFormat="1" ht="15.75" customHeight="1"/>
    <x:row r="276" s="47" customFormat="1" ht="15.75" customHeight="1"/>
    <x:row r="277" s="47" customFormat="1" ht="15.75" customHeight="1"/>
    <x:row r="278" s="47" customFormat="1" ht="15.75" customHeight="1"/>
    <x:row r="279" s="47" customFormat="1" ht="15.75" customHeight="1"/>
    <x:row r="280" s="47" customFormat="1" ht="15.75" customHeight="1"/>
    <x:row r="281" s="47" customFormat="1" ht="15.75" customHeight="1"/>
    <x:row r="282" s="47" customFormat="1" ht="15.75" customHeight="1"/>
    <x:row r="283" s="47" customFormat="1" ht="15.75" customHeight="1"/>
    <x:row r="284" s="47" customFormat="1" ht="15.75" customHeight="1"/>
    <x:row r="285" s="47" customFormat="1" ht="15.75" customHeight="1"/>
    <x:row r="286" s="47" customFormat="1" ht="15.75" customHeight="1"/>
    <x:row r="287" s="47" customFormat="1" ht="15.75" customHeight="1"/>
    <x:row r="288" s="47" customFormat="1" ht="15.75" customHeight="1"/>
    <x:row r="289" s="47" customFormat="1" ht="15.75" customHeight="1"/>
    <x:row r="290" s="47" customFormat="1" ht="15.75" customHeight="1"/>
    <x:row r="291" s="47" customFormat="1" ht="15.75" customHeight="1"/>
    <x:row r="292" s="47" customFormat="1" ht="15.75" customHeight="1"/>
    <x:row r="293" s="47" customFormat="1" ht="15.75" customHeight="1"/>
    <x:row r="294" s="47" customFormat="1" ht="15.75" customHeight="1"/>
    <x:row r="295" s="47" customFormat="1" ht="15.75" customHeight="1"/>
    <x:row r="296" s="47" customFormat="1" ht="15.75" customHeight="1"/>
    <x:row r="297" s="47" customFormat="1" ht="15.75" customHeight="1"/>
    <x:row r="298" s="47" customFormat="1" ht="15.75" customHeight="1"/>
    <x:row r="299" s="47" customFormat="1" ht="15.75" customHeight="1"/>
    <x:row r="300" s="47" customFormat="1" ht="15.75" customHeight="1"/>
    <x:row r="301" s="47" customFormat="1" ht="15.75" customHeight="1"/>
    <x:row r="302" s="47" customFormat="1" ht="15.75" customHeight="1"/>
    <x:row r="303" s="47" customFormat="1" ht="15.75" customHeight="1"/>
    <x:row r="304" s="47" customFormat="1" ht="15.75" customHeight="1"/>
    <x:row r="305" s="47" customFormat="1" ht="15.75" customHeight="1"/>
    <x:row r="306" s="47" customFormat="1" ht="15.75" customHeight="1"/>
    <x:row r="307" s="47" customFormat="1" ht="15.75" customHeight="1"/>
    <x:row r="308" s="47" customFormat="1" ht="15.75" customHeight="1"/>
    <x:row r="309" s="47" customFormat="1" ht="15.75" customHeight="1"/>
    <x:row r="310" s="47" customFormat="1" ht="15.75" customHeight="1"/>
    <x:row r="311" s="47" customFormat="1" ht="15.75" customHeight="1"/>
    <x:row r="312" s="47" customFormat="1" ht="15.75" customHeight="1"/>
    <x:row r="313" s="47" customFormat="1" ht="15.75" customHeight="1"/>
    <x:row r="314" s="47" customFormat="1" ht="15.75" customHeight="1"/>
    <x:row r="315" s="47" customFormat="1" ht="15.75" customHeight="1"/>
    <x:row r="316" s="47" customFormat="1" ht="15.75" customHeight="1"/>
    <x:row r="317" s="47" customFormat="1" ht="15.75" customHeight="1"/>
    <x:row r="318" s="47" customFormat="1" ht="15.75" customHeight="1"/>
    <x:row r="319" s="47" customFormat="1" ht="15.75" customHeight="1"/>
    <x:row r="320" s="47" customFormat="1" ht="15.75" customHeight="1"/>
    <x:row r="321" s="47" customFormat="1" ht="15.75" customHeight="1"/>
    <x:row r="322" s="47" customFormat="1" ht="15.75" customHeight="1"/>
    <x:row r="323" s="47" customFormat="1" ht="15.75" customHeight="1"/>
    <x:row r="324" s="47" customFormat="1" ht="15.75" customHeight="1"/>
    <x:row r="325" s="47" customFormat="1" ht="15.75" customHeight="1"/>
    <x:row r="326" s="47" customFormat="1" ht="15.75" customHeight="1"/>
    <x:row r="327" s="47" customFormat="1" ht="15.75" customHeight="1"/>
    <x:row r="328" s="47" customFormat="1" ht="15.75" customHeight="1"/>
    <x:row r="329" s="47" customFormat="1" ht="15.75" customHeight="1"/>
    <x:row r="330" s="47" customFormat="1" ht="15.75" customHeight="1"/>
    <x:row r="331" s="47" customFormat="1" ht="15.75" customHeight="1"/>
    <x:row r="332" s="47" customFormat="1" ht="15.75" customHeight="1"/>
    <x:row r="333" s="47" customFormat="1" ht="15.75" customHeight="1"/>
    <x:row r="334" s="47" customFormat="1" ht="15.75" customHeight="1"/>
    <x:row r="335" s="47" customFormat="1" ht="15.75" customHeight="1"/>
    <x:row r="336" s="47" customFormat="1" ht="15.75" customHeight="1"/>
    <x:row r="337" s="47" customFormat="1" ht="15.75" customHeight="1"/>
    <x:row r="338" s="47" customFormat="1" ht="15.75" customHeight="1"/>
    <x:row r="339" s="47" customFormat="1" ht="15.75" customHeight="1"/>
    <x:row r="340" s="47" customFormat="1" ht="15.75" customHeight="1"/>
    <x:row r="341" s="47" customFormat="1" ht="15.75" customHeight="1"/>
    <x:row r="342" s="47" customFormat="1" ht="15.75" customHeight="1"/>
    <x:row r="343" s="47" customFormat="1" ht="15.75" customHeight="1"/>
    <x:row r="344" s="47" customFormat="1" ht="15.75" customHeight="1"/>
    <x:row r="345" s="47" customFormat="1" ht="15.75" customHeight="1"/>
    <x:row r="346" s="47" customFormat="1" ht="15.75" customHeight="1"/>
    <x:row r="347" s="47" customFormat="1" ht="15.75" customHeight="1"/>
    <x:row r="348" s="47" customFormat="1" ht="15.75" customHeight="1"/>
    <x:row r="349" s="47" customFormat="1" ht="15.75" customHeight="1"/>
    <x:row r="350" s="47" customFormat="1" ht="15.75" customHeight="1"/>
    <x:row r="351" s="47" customFormat="1" ht="15.75" customHeight="1"/>
    <x:row r="352" s="47" customFormat="1" ht="15.75" customHeight="1"/>
    <x:row r="353" s="47" customFormat="1" ht="15.75" customHeight="1"/>
    <x:row r="354" s="47" customFormat="1" ht="15.75" customHeight="1"/>
    <x:row r="355" s="47" customFormat="1" ht="15.75" customHeight="1"/>
    <x:row r="356" s="47" customFormat="1" ht="15.75" customHeight="1"/>
    <x:row r="357" s="47" customFormat="1" ht="15.75" customHeight="1"/>
    <x:row r="358" s="47" customFormat="1" ht="15.75" customHeight="1"/>
    <x:row r="359" s="47" customFormat="1" ht="15.75" customHeight="1"/>
    <x:row r="360" s="47" customFormat="1" ht="15.75" customHeight="1"/>
    <x:row r="361" s="47" customFormat="1" ht="15.75" customHeight="1"/>
    <x:row r="362" s="47" customFormat="1" ht="15.75" customHeight="1"/>
    <x:row r="363" s="47" customFormat="1" ht="15.75" customHeight="1"/>
    <x:row r="364" s="47" customFormat="1" ht="15.75" customHeight="1"/>
    <x:row r="365" s="47" customFormat="1" ht="15.75" customHeight="1"/>
    <x:row r="366" s="47" customFormat="1" ht="15.75" customHeight="1"/>
    <x:row r="367" s="47" customFormat="1" ht="15.75" customHeight="1"/>
    <x:row r="368" s="47" customFormat="1" ht="15.75" customHeight="1"/>
    <x:row r="369" s="47" customFormat="1" ht="15.75" customHeight="1"/>
    <x:row r="370" s="47" customFormat="1" ht="15.75" customHeight="1"/>
    <x:row r="371" s="47" customFormat="1" ht="15.75" customHeight="1"/>
    <x:row r="372" s="47" customFormat="1" ht="15.75" customHeight="1"/>
    <x:row r="373" s="47" customFormat="1" ht="15.75" customHeight="1"/>
    <x:row r="374" s="47" customFormat="1" ht="15.75" customHeight="1"/>
    <x:row r="375" s="47" customFormat="1" ht="15.75" customHeight="1"/>
    <x:row r="376" s="47" customFormat="1" ht="15.75" customHeight="1"/>
    <x:row r="377" s="47" customFormat="1" ht="15.75" customHeight="1"/>
    <x:row r="378" s="47" customFormat="1" ht="15.75" customHeight="1"/>
    <x:row r="379" s="47" customFormat="1" ht="15.75" customHeight="1"/>
    <x:row r="380" s="47" customFormat="1" ht="15.75" customHeight="1"/>
    <x:row r="381" s="47" customFormat="1" ht="15.75" customHeight="1"/>
    <x:row r="382" s="47" customFormat="1" ht="15.75" customHeight="1"/>
    <x:row r="383" s="47" customFormat="1" ht="15.75" customHeight="1"/>
    <x:row r="384" s="47" customFormat="1" ht="15.75" customHeight="1"/>
    <x:row r="385" s="47" customFormat="1" ht="15.75" customHeight="1"/>
    <x:row r="386" s="47" customFormat="1" ht="15.75" customHeight="1"/>
    <x:row r="387" s="47" customFormat="1" ht="15.75" customHeight="1"/>
    <x:row r="388" s="47" customFormat="1" ht="15.75" customHeight="1"/>
    <x:row r="389" s="47" customFormat="1" ht="15.75" customHeight="1"/>
    <x:row r="390" s="47" customFormat="1" ht="15.75" customHeight="1"/>
    <x:row r="391" s="47" customFormat="1" ht="15.75" customHeight="1"/>
    <x:row r="392" s="47" customFormat="1" ht="15.75" customHeight="1"/>
    <x:row r="393" s="47" customFormat="1" ht="15.75" customHeight="1"/>
    <x:row r="394" s="47" customFormat="1" ht="15.75" customHeight="1"/>
    <x:row r="395" s="47" customFormat="1" ht="15.75" customHeight="1"/>
    <x:row r="396" s="47" customFormat="1" ht="15.75" customHeight="1"/>
    <x:row r="397" s="47" customFormat="1" ht="15.75" customHeight="1"/>
    <x:row r="398" s="47" customFormat="1" ht="15.75" customHeight="1"/>
    <x:row r="399" s="47" customFormat="1" ht="15.75" customHeight="1"/>
    <x:row r="400" s="47" customFormat="1" ht="15.75" customHeight="1"/>
    <x:row r="401" s="47" customFormat="1" ht="15.75" customHeight="1"/>
    <x:row r="402" s="47" customFormat="1" ht="15.75" customHeight="1"/>
    <x:row r="403" s="47" customFormat="1" ht="15.75" customHeight="1"/>
    <x:row r="404" s="47" customFormat="1" ht="15.75" customHeight="1"/>
    <x:row r="405" s="47" customFormat="1" ht="15.75" customHeight="1"/>
    <x:row r="406" s="47" customFormat="1" ht="15.75" customHeight="1"/>
    <x:row r="407" s="47" customFormat="1" ht="15.75" customHeight="1"/>
    <x:row r="408" s="47" customFormat="1" ht="15.75" customHeight="1"/>
    <x:row r="409" s="47" customFormat="1" ht="15.75" customHeight="1"/>
    <x:row r="410" s="47" customFormat="1" ht="15.75" customHeight="1"/>
    <x:row r="411" s="47" customFormat="1" ht="15.75" customHeight="1"/>
    <x:row r="412" s="47" customFormat="1" ht="15.75" customHeight="1"/>
    <x:row r="413" s="47" customFormat="1" ht="15.75" customHeight="1"/>
    <x:row r="414" s="47" customFormat="1" ht="15.75" customHeight="1"/>
    <x:row r="415" s="47" customFormat="1" ht="15.75" customHeight="1"/>
    <x:row r="416" s="47" customFormat="1" ht="15.75" customHeight="1"/>
    <x:row r="417" s="47" customFormat="1" ht="15.75" customHeight="1"/>
    <x:row r="418" s="47" customFormat="1" ht="15.75" customHeight="1"/>
    <x:row r="419" s="47" customFormat="1" ht="15.75" customHeight="1"/>
    <x:row r="420" s="47" customFormat="1" ht="15.75" customHeight="1"/>
    <x:row r="421" s="47" customFormat="1" ht="15.75" customHeight="1"/>
    <x:row r="422" s="47" customFormat="1" ht="15.75" customHeight="1"/>
    <x:row r="423" s="47" customFormat="1" ht="15.75" customHeight="1"/>
    <x:row r="424" s="47" customFormat="1" ht="15.75" customHeight="1"/>
    <x:row r="425" s="47" customFormat="1" ht="15.75" customHeight="1"/>
    <x:row r="426" s="47" customFormat="1" ht="15.75" customHeight="1"/>
    <x:row r="427" s="47" customFormat="1" ht="15.75" customHeight="1"/>
    <x:row r="428" s="47" customFormat="1" ht="15.75" customHeight="1"/>
    <x:row r="429" s="47" customFormat="1" ht="15.75" customHeight="1"/>
    <x:row r="430" s="47" customFormat="1" ht="15.75" customHeight="1"/>
    <x:row r="431" s="47" customFormat="1" ht="15.75" customHeight="1"/>
    <x:row r="432" s="47" customFormat="1" ht="15.75" customHeight="1"/>
    <x:row r="433" s="47" customFormat="1" ht="15.75" customHeight="1"/>
    <x:row r="434" s="47" customFormat="1" ht="15.75" customHeight="1"/>
    <x:row r="435" s="47" customFormat="1" ht="15.75" customHeight="1"/>
    <x:row r="436" s="47" customFormat="1" ht="15.75" customHeight="1"/>
    <x:row r="437" s="47" customFormat="1" ht="15.75" customHeight="1"/>
    <x:row r="438" s="47" customFormat="1" ht="15.75" customHeight="1"/>
    <x:row r="439" s="47" customFormat="1" ht="15.75" customHeight="1"/>
    <x:row r="440" s="47" customFormat="1" ht="15.75" customHeight="1"/>
    <x:row r="441" s="47" customFormat="1" ht="15.75" customHeight="1"/>
    <x:row r="442" s="47" customFormat="1" ht="15.75" customHeight="1"/>
    <x:row r="443" s="47" customFormat="1" ht="15.75" customHeight="1"/>
    <x:row r="444" s="47" customFormat="1" ht="15.75" customHeight="1"/>
    <x:row r="445" s="47" customFormat="1" ht="15.75" customHeight="1"/>
    <x:row r="446" s="47" customFormat="1" ht="15.75" customHeight="1"/>
    <x:row r="447" s="47" customFormat="1" ht="15.75" customHeight="1"/>
    <x:row r="448" s="47" customFormat="1" ht="15.75" customHeight="1"/>
    <x:row r="449" s="47" customFormat="1" ht="15.75" customHeight="1"/>
    <x:row r="450" s="47" customFormat="1" ht="15.75" customHeight="1"/>
    <x:row r="451" s="47" customFormat="1" ht="15.75" customHeight="1"/>
    <x:row r="452" s="47" customFormat="1" ht="15.75" customHeight="1"/>
    <x:row r="453" s="47" customFormat="1" ht="15.75" customHeight="1"/>
    <x:row r="454" s="47" customFormat="1" ht="15.75" customHeight="1"/>
    <x:row r="455" s="47" customFormat="1" ht="15.75" customHeight="1"/>
    <x:row r="456" s="47" customFormat="1" ht="15.75" customHeight="1"/>
    <x:row r="457" s="47" customFormat="1" ht="15.75" customHeight="1"/>
    <x:row r="458" s="47" customFormat="1" ht="15.75" customHeight="1"/>
    <x:row r="459" s="47" customFormat="1" ht="15.75" customHeight="1"/>
    <x:row r="460" s="47" customFormat="1" ht="15.75" customHeight="1"/>
    <x:row r="461" s="47" customFormat="1" ht="15.75" customHeight="1"/>
    <x:row r="462" s="47" customFormat="1" ht="15.75" customHeight="1"/>
    <x:row r="463" s="47" customFormat="1" ht="15.75" customHeight="1"/>
    <x:row r="464" s="47" customFormat="1" ht="15.75" customHeight="1"/>
    <x:row r="465" s="47" customFormat="1" ht="15.75" customHeight="1"/>
    <x:row r="466" s="47" customFormat="1" ht="15.75" customHeight="1"/>
    <x:row r="467" s="47" customFormat="1" ht="15.75" customHeight="1"/>
    <x:row r="468" s="47" customFormat="1" ht="15.75" customHeight="1"/>
    <x:row r="469" s="47" customFormat="1" ht="15.75" customHeight="1"/>
    <x:row r="470" s="47" customFormat="1" ht="15.75" customHeight="1"/>
    <x:row r="471" s="47" customFormat="1" ht="15.75" customHeight="1"/>
    <x:row r="472" s="47" customFormat="1" ht="15.75" customHeight="1"/>
    <x:row r="473" s="47" customFormat="1" ht="15.75" customHeight="1"/>
    <x:row r="474" s="47" customFormat="1" ht="15.75" customHeight="1"/>
    <x:row r="475" s="47" customFormat="1" ht="15.75" customHeight="1"/>
    <x:row r="476" s="47" customFormat="1" ht="15.75" customHeight="1"/>
    <x:row r="477" s="47" customFormat="1" ht="15.75" customHeight="1"/>
    <x:row r="478" s="47" customFormat="1" ht="15.75" customHeight="1"/>
    <x:row r="479" s="47" customFormat="1" ht="15.75" customHeight="1"/>
    <x:row r="480" s="47" customFormat="1" ht="15.75" customHeight="1"/>
    <x:row r="481" s="47" customFormat="1" ht="15.75" customHeight="1"/>
    <x:row r="482" s="47" customFormat="1" ht="15.75" customHeight="1"/>
    <x:row r="483" s="47" customFormat="1" ht="15.75" customHeight="1"/>
    <x:row r="484" s="47" customFormat="1" ht="15.75" customHeight="1"/>
    <x:row r="485" s="47" customFormat="1" ht="15.75" customHeight="1"/>
    <x:row r="486" s="47" customFormat="1" ht="15.75" customHeight="1"/>
    <x:row r="487" s="47" customFormat="1" ht="15.75" customHeight="1"/>
    <x:row r="488" s="47" customFormat="1" ht="15.75" customHeight="1"/>
    <x:row r="489" s="47" customFormat="1" ht="15.75" customHeight="1"/>
    <x:row r="490" s="47" customFormat="1" ht="15.75" customHeight="1"/>
    <x:row r="491" s="47" customFormat="1" ht="15.75" customHeight="1"/>
    <x:row r="492" s="47" customFormat="1" ht="15.75" customHeight="1"/>
    <x:row r="493" s="47" customFormat="1" ht="15.75" customHeight="1"/>
    <x:row r="494" s="47" customFormat="1" ht="15.75" customHeight="1"/>
    <x:row r="495" s="47" customFormat="1" ht="15.75" customHeight="1"/>
    <x:row r="496" s="47" customFormat="1" ht="15.75" customHeight="1"/>
    <x:row r="497" s="47" customFormat="1" ht="15.75" customHeight="1"/>
    <x:row r="498" s="47" customFormat="1" ht="15.75" customHeight="1"/>
    <x:row r="499" s="47" customFormat="1" ht="15.75" customHeight="1"/>
    <x:row r="500" s="47" customFormat="1" ht="15.75" customHeight="1"/>
    <x:row r="501" s="47" customFormat="1" ht="15.75" customHeight="1"/>
    <x:row r="502" s="47" customFormat="1" ht="15.75" customHeight="1"/>
    <x:row r="503" s="47" customFormat="1" ht="15.75" customHeight="1"/>
    <x:row r="504" s="47" customFormat="1" ht="15.75" customHeight="1"/>
    <x:row r="505" s="47" customFormat="1" ht="15.75" customHeight="1"/>
    <x:row r="506" s="47" customFormat="1" ht="15.75" customHeight="1"/>
    <x:row r="507" s="47" customFormat="1" ht="15.75" customHeight="1"/>
    <x:row r="508" s="47" customFormat="1" ht="15.75" customHeight="1"/>
    <x:row r="509" s="47" customFormat="1" ht="15.75" customHeight="1"/>
    <x:row r="510" s="47" customFormat="1" ht="15.75" customHeight="1"/>
    <x:row r="511" s="47" customFormat="1" ht="15.75" customHeight="1"/>
    <x:row r="512" s="47" customFormat="1" ht="15.75" customHeight="1"/>
    <x:row r="513" s="47" customFormat="1" ht="15.75" customHeight="1"/>
    <x:row r="514" s="47" customFormat="1" ht="15.75" customHeight="1"/>
    <x:row r="515" s="47" customFormat="1" ht="15.75" customHeight="1"/>
    <x:row r="516" s="47" customFormat="1" ht="15.75" customHeight="1"/>
    <x:row r="517" s="47" customFormat="1" ht="15.75" customHeight="1"/>
    <x:row r="518" s="47" customFormat="1" ht="15.75" customHeight="1"/>
    <x:row r="519" s="47" customFormat="1" ht="15.75" customHeight="1"/>
    <x:row r="520" s="47" customFormat="1" ht="15.75" customHeight="1"/>
    <x:row r="521" s="47" customFormat="1" ht="15.75" customHeight="1"/>
    <x:row r="522" s="47" customFormat="1" ht="15.75" customHeight="1"/>
    <x:row r="523" s="47" customFormat="1" ht="15.75" customHeight="1"/>
    <x:row r="524" s="47" customFormat="1" ht="15.75" customHeight="1"/>
    <x:row r="525" s="47" customFormat="1" ht="15.75" customHeight="1"/>
    <x:row r="526" s="47" customFormat="1" ht="15.75" customHeight="1"/>
    <x:row r="527" s="47" customFormat="1" ht="15.75" customHeight="1"/>
    <x:row r="528" s="47" customFormat="1" ht="15.75" customHeight="1"/>
    <x:row r="529" s="47" customFormat="1" ht="15.75" customHeight="1"/>
    <x:row r="530" s="47" customFormat="1" ht="15.75" customHeight="1"/>
    <x:row r="531" s="47" customFormat="1" ht="15.75" customHeight="1"/>
    <x:row r="532" s="47" customFormat="1" ht="15.75" customHeight="1"/>
    <x:row r="533" s="47" customFormat="1" ht="15.75" customHeight="1"/>
    <x:row r="534" s="47" customFormat="1" ht="15.75" customHeight="1"/>
    <x:row r="535" s="47" customFormat="1" ht="15.75" customHeight="1"/>
    <x:row r="536" s="47" customFormat="1" ht="15.75" customHeight="1"/>
    <x:row r="537" s="47" customFormat="1" ht="15.75" customHeight="1"/>
    <x:row r="538" s="47" customFormat="1" ht="15.75" customHeight="1"/>
    <x:row r="539" s="47" customFormat="1" ht="15.75" customHeight="1"/>
    <x:row r="540" s="47" customFormat="1" ht="15.75" customHeight="1"/>
    <x:row r="541" s="47" customFormat="1" ht="15.75" customHeight="1"/>
    <x:row r="542" s="47" customFormat="1" ht="15.75" customHeight="1"/>
    <x:row r="543" s="47" customFormat="1" ht="15.75" customHeight="1"/>
    <x:row r="544" s="47" customFormat="1" ht="15.75" customHeight="1"/>
    <x:row r="545" s="47" customFormat="1" ht="15.75" customHeight="1"/>
    <x:row r="546" s="47" customFormat="1" ht="15.75" customHeight="1"/>
    <x:row r="547" s="47" customFormat="1" ht="15.75" customHeight="1"/>
    <x:row r="548" s="47" customFormat="1" ht="15.75" customHeight="1"/>
    <x:row r="549" s="47" customFormat="1" ht="15.75" customHeight="1"/>
    <x:row r="550" s="47" customFormat="1" ht="15.75" customHeight="1"/>
    <x:row r="551" s="47" customFormat="1" ht="15.75" customHeight="1"/>
    <x:row r="552" s="47" customFormat="1" ht="15.75" customHeight="1"/>
    <x:row r="553" s="47" customFormat="1" ht="15.75" customHeight="1"/>
    <x:row r="554" s="47" customFormat="1" ht="15.75" customHeight="1"/>
    <x:row r="555" s="47" customFormat="1" ht="15.75" customHeight="1"/>
    <x:row r="556" s="47" customFormat="1" ht="15.75" customHeight="1"/>
    <x:row r="557" s="47" customFormat="1" ht="15.75" customHeight="1"/>
    <x:row r="558" s="47" customFormat="1" ht="15.75" customHeight="1"/>
    <x:row r="559" s="47" customFormat="1" ht="15.75" customHeight="1"/>
    <x:row r="560" s="47" customFormat="1" ht="15.75" customHeight="1"/>
    <x:row r="561" s="47" customFormat="1" ht="15.75" customHeight="1"/>
    <x:row r="562" s="47" customFormat="1" ht="15.75" customHeight="1"/>
    <x:row r="563" s="47" customFormat="1" ht="15.75" customHeight="1"/>
    <x:row r="564" s="47" customFormat="1" ht="15.75" customHeight="1"/>
    <x:row r="565" s="47" customFormat="1" ht="15.75" customHeight="1"/>
    <x:row r="566" s="47" customFormat="1" ht="15.75" customHeight="1"/>
    <x:row r="567" s="47" customFormat="1" ht="15.75" customHeight="1"/>
    <x:row r="568" s="47" customFormat="1" ht="15.75" customHeight="1"/>
    <x:row r="569" s="47" customFormat="1" ht="15.75" customHeight="1"/>
    <x:row r="570" s="47" customFormat="1" ht="15.75" customHeight="1"/>
    <x:row r="571" s="47" customFormat="1" ht="15.75" customHeight="1"/>
    <x:row r="572" s="47" customFormat="1" ht="15.75" customHeight="1"/>
    <x:row r="573" s="47" customFormat="1" ht="15.75" customHeight="1"/>
    <x:row r="574" s="47" customFormat="1" ht="15.75" customHeight="1"/>
    <x:row r="575" s="47" customFormat="1" ht="15.75" customHeight="1"/>
    <x:row r="576" s="47" customFormat="1" ht="15.75" customHeight="1"/>
    <x:row r="577" s="47" customFormat="1" ht="15.75" customHeight="1"/>
    <x:row r="578" s="47" customFormat="1" ht="15.75" customHeight="1"/>
    <x:row r="579" s="47" customFormat="1" ht="15.75" customHeight="1"/>
    <x:row r="580" s="47" customFormat="1" ht="15.75" customHeight="1"/>
    <x:row r="581" s="47" customFormat="1" ht="15.75" customHeight="1"/>
    <x:row r="582" s="47" customFormat="1" ht="15.75" customHeight="1"/>
    <x:row r="583" s="47" customFormat="1" ht="15.75" customHeight="1"/>
    <x:row r="584" s="47" customFormat="1" ht="15.75" customHeight="1"/>
    <x:row r="585" s="47" customFormat="1" ht="15.75" customHeight="1"/>
    <x:row r="586" s="47" customFormat="1" ht="15.75" customHeight="1"/>
    <x:row r="587" s="47" customFormat="1" ht="15.75" customHeight="1"/>
    <x:row r="588" s="47" customFormat="1" ht="15.75" customHeight="1"/>
    <x:row r="589" s="47" customFormat="1" ht="15.75" customHeight="1"/>
    <x:row r="590" s="47" customFormat="1" ht="15.75" customHeight="1"/>
    <x:row r="591" s="47" customFormat="1" ht="15.75" customHeight="1"/>
    <x:row r="592" s="47" customFormat="1" ht="15.75" customHeight="1"/>
    <x:row r="593" s="47" customFormat="1" ht="15.75" customHeight="1"/>
    <x:row r="594" s="47" customFormat="1" ht="15.75" customHeight="1"/>
    <x:row r="595" s="47" customFormat="1" ht="15.75" customHeight="1"/>
    <x:row r="596" s="47" customFormat="1" ht="15.75" customHeight="1"/>
    <x:row r="597" s="47" customFormat="1" ht="15.75" customHeight="1"/>
    <x:row r="598" s="47" customFormat="1" ht="15.75" customHeight="1"/>
    <x:row r="599" s="47" customFormat="1" ht="15.75" customHeight="1"/>
    <x:row r="600" s="47" customFormat="1" ht="15.75" customHeight="1"/>
    <x:row r="601" s="47" customFormat="1" ht="15.75" customHeight="1"/>
    <x:row r="602" s="47" customFormat="1" ht="15.75" customHeight="1"/>
    <x:row r="603" s="47" customFormat="1" ht="15.75" customHeight="1"/>
    <x:row r="604" s="47" customFormat="1" ht="15.75" customHeight="1"/>
    <x:row r="605" s="47" customFormat="1" ht="15.75" customHeight="1"/>
    <x:row r="606" s="47" customFormat="1" ht="15.75" customHeight="1"/>
    <x:row r="607" s="47" customFormat="1" ht="15.75" customHeight="1"/>
    <x:row r="608" s="47" customFormat="1" ht="15.75" customHeight="1"/>
    <x:row r="609" s="47" customFormat="1" ht="15.75" customHeight="1"/>
    <x:row r="610" s="47" customFormat="1" ht="15.75" customHeight="1"/>
    <x:row r="611" s="47" customFormat="1" ht="15.75" customHeight="1"/>
    <x:row r="612" s="47" customFormat="1" ht="15.75" customHeight="1"/>
    <x:row r="613" s="47" customFormat="1" ht="15.75" customHeight="1"/>
    <x:row r="614" s="47" customFormat="1" ht="15.75" customHeight="1"/>
    <x:row r="615" s="47" customFormat="1" ht="15.75" customHeight="1"/>
    <x:row r="616" s="47" customFormat="1" ht="15.75" customHeight="1"/>
    <x:row r="617" s="47" customFormat="1" ht="15.75" customHeight="1"/>
    <x:row r="618" s="47" customFormat="1" ht="15.75" customHeight="1"/>
    <x:row r="619" s="47" customFormat="1" ht="15.75" customHeight="1"/>
    <x:row r="620" s="47" customFormat="1" ht="15.75" customHeight="1"/>
    <x:row r="621" s="47" customFormat="1" ht="15.75" customHeight="1"/>
    <x:row r="622" s="47" customFormat="1" ht="15.75" customHeight="1"/>
    <x:row r="623" s="47" customFormat="1" ht="15.75" customHeight="1"/>
    <x:row r="624" s="47" customFormat="1" ht="15.75" customHeight="1"/>
    <x:row r="625" s="47" customFormat="1" ht="15.75" customHeight="1"/>
    <x:row r="626" s="47" customFormat="1" ht="15.75" customHeight="1"/>
    <x:row r="627" s="47" customFormat="1" ht="15.75" customHeight="1"/>
    <x:row r="628" s="47" customFormat="1" ht="15.75" customHeight="1"/>
    <x:row r="629" s="47" customFormat="1" ht="15.75" customHeight="1"/>
    <x:row r="630" s="47" customFormat="1" ht="15.75" customHeight="1"/>
    <x:row r="631" s="47" customFormat="1" ht="15.75" customHeight="1"/>
    <x:row r="632" s="47" customFormat="1" ht="15.75" customHeight="1"/>
    <x:row r="633" s="47" customFormat="1" ht="15.75" customHeight="1"/>
    <x:row r="634" s="47" customFormat="1" ht="15.75" customHeight="1"/>
    <x:row r="635" s="47" customFormat="1" ht="15.75" customHeight="1"/>
    <x:row r="636" s="47" customFormat="1" ht="15.75" customHeight="1"/>
    <x:row r="637" s="47" customFormat="1" ht="15.75" customHeight="1"/>
    <x:row r="638" s="47" customFormat="1" ht="15.75" customHeight="1"/>
    <x:row r="639" s="47" customFormat="1" ht="15.75" customHeight="1"/>
    <x:row r="640" s="47" customFormat="1" ht="15.75" customHeight="1"/>
    <x:row r="641" s="47" customFormat="1" ht="15.75" customHeight="1"/>
    <x:row r="642" s="47" customFormat="1" ht="15.75" customHeight="1"/>
    <x:row r="643" s="47" customFormat="1" ht="15.75" customHeight="1"/>
    <x:row r="644" s="47" customFormat="1" ht="15.75" customHeight="1"/>
    <x:row r="645" s="47" customFormat="1" ht="15.75" customHeight="1"/>
    <x:row r="646" s="47" customFormat="1" ht="15.75" customHeight="1"/>
    <x:row r="647" s="47" customFormat="1" ht="15.75" customHeight="1"/>
    <x:row r="648" s="47" customFormat="1" ht="15.75" customHeight="1"/>
    <x:row r="649" s="47" customFormat="1" ht="15.75" customHeight="1"/>
    <x:row r="650" s="47" customFormat="1" ht="15.75" customHeight="1"/>
    <x:row r="651" s="47" customFormat="1" ht="15.75" customHeight="1"/>
    <x:row r="652" s="47" customFormat="1" ht="15.75" customHeight="1"/>
    <x:row r="653" s="47" customFormat="1" ht="15.75" customHeight="1"/>
    <x:row r="654" s="47" customFormat="1" ht="15.75" customHeight="1"/>
    <x:row r="655" s="47" customFormat="1" ht="15.75" customHeight="1"/>
    <x:row r="656" s="47" customFormat="1" ht="15.75" customHeight="1"/>
    <x:row r="657" s="47" customFormat="1" ht="15.75" customHeight="1"/>
    <x:row r="658" s="47" customFormat="1" ht="15.75" customHeight="1"/>
    <x:row r="659" s="47" customFormat="1" ht="15.75" customHeight="1"/>
    <x:row r="660" s="47" customFormat="1" ht="15.75" customHeight="1"/>
    <x:row r="661" s="47" customFormat="1" ht="15.75" customHeight="1"/>
    <x:row r="662" s="47" customFormat="1" ht="15.75" customHeight="1"/>
    <x:row r="663" s="47" customFormat="1" ht="15.75" customHeight="1"/>
    <x:row r="664" s="47" customFormat="1" ht="15.75" customHeight="1"/>
    <x:row r="665" s="47" customFormat="1" ht="15.75" customHeight="1"/>
    <x:row r="666" s="47" customFormat="1" ht="15.75" customHeight="1"/>
    <x:row r="667" s="47" customFormat="1" ht="15.75" customHeight="1"/>
    <x:row r="668" s="47" customFormat="1" ht="15.75" customHeight="1"/>
    <x:row r="669" s="47" customFormat="1" ht="15.75" customHeight="1"/>
    <x:row r="670" s="47" customFormat="1" ht="15.75" customHeight="1"/>
    <x:row r="671" s="47" customFormat="1" ht="15.75" customHeight="1"/>
    <x:row r="672" s="47" customFormat="1" ht="15.75" customHeight="1"/>
    <x:row r="673" s="47" customFormat="1" ht="15.75" customHeight="1"/>
    <x:row r="674" s="47" customFormat="1" ht="15.75" customHeight="1"/>
    <x:row r="675" s="47" customFormat="1" ht="15.75" customHeight="1"/>
    <x:row r="676" s="47" customFormat="1" ht="15.75" customHeight="1"/>
    <x:row r="677" s="47" customFormat="1" ht="15.75" customHeight="1"/>
    <x:row r="678" s="47" customFormat="1" ht="15.75" customHeight="1"/>
    <x:row r="679" s="47" customFormat="1" ht="15.75" customHeight="1"/>
    <x:row r="680" s="47" customFormat="1" ht="15.75" customHeight="1"/>
    <x:row r="681" s="47" customFormat="1" ht="15.75" customHeight="1"/>
    <x:row r="682" s="47" customFormat="1" ht="15.75" customHeight="1"/>
    <x:row r="683" s="47" customFormat="1" ht="15.75" customHeight="1"/>
    <x:row r="684" s="47" customFormat="1" ht="15.75" customHeight="1"/>
    <x:row r="685" s="47" customFormat="1" ht="15.75" customHeight="1"/>
    <x:row r="686" s="47" customFormat="1" ht="15.75" customHeight="1"/>
    <x:row r="687" s="47" customFormat="1" ht="15.75" customHeight="1"/>
    <x:row r="688" s="47" customFormat="1" ht="15.75" customHeight="1"/>
    <x:row r="689" s="47" customFormat="1" ht="15.75" customHeight="1"/>
    <x:row r="690" s="47" customFormat="1" ht="15.75" customHeight="1"/>
    <x:row r="691" s="47" customFormat="1" ht="15.75" customHeight="1"/>
    <x:row r="692" s="47" customFormat="1" ht="15.75" customHeight="1"/>
    <x:row r="693" s="47" customFormat="1" ht="15.75" customHeight="1"/>
    <x:row r="694" s="47" customFormat="1" ht="15.75" customHeight="1"/>
    <x:row r="695" s="47" customFormat="1" ht="15.75" customHeight="1"/>
    <x:row r="696" s="47" customFormat="1" ht="15.75" customHeight="1"/>
    <x:row r="697" s="47" customFormat="1" ht="15.75" customHeight="1"/>
    <x:row r="698" s="47" customFormat="1" ht="15.75" customHeight="1"/>
    <x:row r="699" s="47" customFormat="1" ht="15.75" customHeight="1"/>
    <x:row r="700" s="47" customFormat="1" ht="15.75" customHeight="1"/>
    <x:row r="701" s="47" customFormat="1" ht="15.75" customHeight="1"/>
    <x:row r="702" s="47" customFormat="1" ht="15.75" customHeight="1"/>
    <x:row r="703" s="47" customFormat="1" ht="15.75" customHeight="1"/>
    <x:row r="704" s="47" customFormat="1" ht="15.75" customHeight="1"/>
    <x:row r="705" s="47" customFormat="1" ht="15.75" customHeight="1"/>
    <x:row r="706" s="47" customFormat="1" ht="15.75" customHeight="1"/>
    <x:row r="707" s="47" customFormat="1" ht="15.75" customHeight="1"/>
    <x:row r="708" s="47" customFormat="1" ht="15.75" customHeight="1"/>
    <x:row r="709" s="47" customFormat="1" ht="15.75" customHeight="1"/>
    <x:row r="710" s="47" customFormat="1" ht="15.75" customHeight="1"/>
    <x:row r="711" s="47" customFormat="1" ht="15.75" customHeight="1"/>
    <x:row r="712" s="47" customFormat="1" ht="15.75" customHeight="1"/>
    <x:row r="713" s="47" customFormat="1" ht="15.75" customHeight="1"/>
    <x:row r="714" s="47" customFormat="1" ht="15.75" customHeight="1"/>
    <x:row r="715" s="47" customFormat="1" ht="15.75" customHeight="1"/>
    <x:row r="716" s="47" customFormat="1" ht="15.75" customHeight="1"/>
    <x:row r="717" s="47" customFormat="1" ht="15.75" customHeight="1"/>
    <x:row r="718" s="47" customFormat="1" ht="15.75" customHeight="1"/>
    <x:row r="719" s="47" customFormat="1" ht="15.75" customHeight="1"/>
    <x:row r="720" s="47" customFormat="1" ht="15.75" customHeight="1"/>
    <x:row r="721" s="47" customFormat="1" ht="15.75" customHeight="1"/>
    <x:row r="722" s="47" customFormat="1" ht="15.75" customHeight="1"/>
    <x:row r="723" s="47" customFormat="1" ht="15.75" customHeight="1"/>
    <x:row r="724" s="47" customFormat="1" ht="15.75" customHeight="1"/>
    <x:row r="725" s="47" customFormat="1" ht="15.75" customHeight="1"/>
    <x:row r="726" s="47" customFormat="1" ht="15.75" customHeight="1"/>
    <x:row r="727" s="47" customFormat="1" ht="15.75" customHeight="1"/>
    <x:row r="728" s="47" customFormat="1" ht="15.75" customHeight="1"/>
    <x:row r="729" s="47" customFormat="1" ht="15.75" customHeight="1"/>
    <x:row r="730" s="47" customFormat="1" ht="15.75" customHeight="1"/>
    <x:row r="731" s="47" customFormat="1" ht="15.75" customHeight="1"/>
    <x:row r="732" s="47" customFormat="1" ht="15.75" customHeight="1"/>
    <x:row r="733" s="47" customFormat="1" ht="15.75" customHeight="1"/>
    <x:row r="734" s="47" customFormat="1" ht="15.75" customHeight="1"/>
    <x:row r="735" s="47" customFormat="1" ht="15.75" customHeight="1"/>
    <x:row r="736" s="47" customFormat="1" ht="15.75" customHeight="1"/>
    <x:row r="737" s="47" customFormat="1" ht="15.75" customHeight="1"/>
    <x:row r="738" s="47" customFormat="1" ht="15.75" customHeight="1"/>
    <x:row r="739" s="47" customFormat="1" ht="15.75" customHeight="1"/>
    <x:row r="740" s="47" customFormat="1" ht="15.75" customHeight="1"/>
    <x:row r="741" s="47" customFormat="1" ht="15.75" customHeight="1"/>
    <x:row r="742" s="47" customFormat="1" ht="15.75" customHeight="1"/>
    <x:row r="743" s="47" customFormat="1" ht="15.75" customHeight="1"/>
    <x:row r="744" s="47" customFormat="1" ht="15.75" customHeight="1"/>
    <x:row r="745" s="47" customFormat="1" ht="15.75" customHeight="1"/>
    <x:row r="746" s="47" customFormat="1" ht="15.75" customHeight="1"/>
    <x:row r="747" s="47" customFormat="1" ht="15.75" customHeight="1"/>
    <x:row r="748" s="47" customFormat="1" ht="15.75" customHeight="1"/>
    <x:row r="749" s="47" customFormat="1" ht="15.75" customHeight="1"/>
    <x:row r="750" s="47" customFormat="1" ht="15.75" customHeight="1"/>
    <x:row r="751" s="47" customFormat="1" ht="15.75" customHeight="1"/>
    <x:row r="752" s="47" customFormat="1" ht="15.75" customHeight="1"/>
    <x:row r="753" s="47" customFormat="1" ht="15.75" customHeight="1"/>
    <x:row r="754" s="47" customFormat="1" ht="15.75" customHeight="1"/>
    <x:row r="755" s="47" customFormat="1" ht="15.75" customHeight="1"/>
    <x:row r="756" s="47" customFormat="1" ht="15.75" customHeight="1"/>
    <x:row r="757" s="47" customFormat="1" ht="15.75" customHeight="1"/>
    <x:row r="758" s="47" customFormat="1" ht="15.75" customHeight="1"/>
    <x:row r="759" s="47" customFormat="1" ht="15.75" customHeight="1"/>
    <x:row r="760" s="47" customFormat="1" ht="15.75" customHeight="1"/>
    <x:row r="761" s="47" customFormat="1" ht="15.75" customHeight="1"/>
    <x:row r="762" s="47" customFormat="1" ht="15.75" customHeight="1"/>
    <x:row r="763" s="47" customFormat="1" ht="15.75" customHeight="1"/>
    <x:row r="764" s="47" customFormat="1" ht="15.75" customHeight="1"/>
    <x:row r="765" s="47" customFormat="1" ht="15.75" customHeight="1"/>
    <x:row r="766" s="47" customFormat="1" ht="15.75" customHeight="1"/>
    <x:row r="767" s="47" customFormat="1" ht="15.75" customHeight="1"/>
    <x:row r="768" s="47" customFormat="1" ht="15.75" customHeight="1"/>
    <x:row r="769" s="47" customFormat="1" ht="15.75" customHeight="1"/>
    <x:row r="770" s="47" customFormat="1" ht="15.75" customHeight="1"/>
    <x:row r="771" s="47" customFormat="1" ht="15.75" customHeight="1"/>
    <x:row r="772" s="47" customFormat="1" ht="15.75" customHeight="1"/>
    <x:row r="773" s="47" customFormat="1" ht="15.75" customHeight="1"/>
    <x:row r="774" s="47" customFormat="1" ht="15.75" customHeight="1"/>
    <x:row r="775" s="47" customFormat="1" ht="15.75" customHeight="1"/>
    <x:row r="776" s="47" customFormat="1" ht="15.75" customHeight="1"/>
    <x:row r="777" s="47" customFormat="1" ht="15.75" customHeight="1"/>
    <x:row r="778" s="47" customFormat="1" ht="15.75" customHeight="1"/>
    <x:row r="779" s="47" customFormat="1" ht="15.75" customHeight="1"/>
    <x:row r="780" s="47" customFormat="1" ht="15.75" customHeight="1"/>
    <x:row r="781" s="47" customFormat="1" ht="15.75" customHeight="1"/>
    <x:row r="782" s="47" customFormat="1" ht="15.75" customHeight="1"/>
    <x:row r="783" s="47" customFormat="1" ht="15.75" customHeight="1"/>
    <x:row r="784" s="47" customFormat="1" ht="15.75" customHeight="1"/>
    <x:row r="785" s="47" customFormat="1" ht="15.75" customHeight="1"/>
    <x:row r="786" s="47" customFormat="1" ht="15.75" customHeight="1"/>
    <x:row r="787" s="47" customFormat="1" ht="15.75" customHeight="1"/>
    <x:row r="788" s="47" customFormat="1" ht="15.75" customHeight="1"/>
    <x:row r="789" s="47" customFormat="1" ht="15.75" customHeight="1"/>
    <x:row r="790" s="47" customFormat="1" ht="15.75" customHeight="1"/>
    <x:row r="791" s="47" customFormat="1" ht="15.75" customHeight="1"/>
    <x:row r="792" s="47" customFormat="1" ht="15.75" customHeight="1"/>
    <x:row r="793" s="47" customFormat="1" ht="15.75" customHeight="1"/>
    <x:row r="794" s="47" customFormat="1" ht="15.75" customHeight="1"/>
    <x:row r="795" s="47" customFormat="1" ht="15.75" customHeight="1"/>
    <x:row r="796" s="47" customFormat="1" ht="15.75" customHeight="1"/>
    <x:row r="797" s="47" customFormat="1" ht="15.75" customHeight="1"/>
    <x:row r="798" s="47" customFormat="1" ht="15.75" customHeight="1"/>
    <x:row r="799" s="47" customFormat="1" ht="15.75" customHeight="1"/>
    <x:row r="800" s="47" customFormat="1" ht="15.75" customHeight="1"/>
    <x:row r="801" s="47" customFormat="1" ht="15.75" customHeight="1"/>
    <x:row r="802" s="47" customFormat="1" ht="15.75" customHeight="1"/>
    <x:row r="803" s="47" customFormat="1" ht="15.75" customHeight="1"/>
    <x:row r="804" s="47" customFormat="1" ht="15.75" customHeight="1"/>
    <x:row r="805" s="47" customFormat="1" ht="15.75" customHeight="1"/>
    <x:row r="806" s="47" customFormat="1" ht="15.75" customHeight="1"/>
    <x:row r="807" s="47" customFormat="1" ht="15.75" customHeight="1"/>
    <x:row r="808" s="47" customFormat="1" ht="15.75" customHeight="1"/>
    <x:row r="809" s="47" customFormat="1" ht="15.75" customHeight="1"/>
    <x:row r="810" s="47" customFormat="1" ht="15.75" customHeight="1"/>
    <x:row r="811" s="47" customFormat="1" ht="15.75" customHeight="1"/>
    <x:row r="812" s="47" customFormat="1" ht="15.75" customHeight="1"/>
    <x:row r="813" s="47" customFormat="1" ht="15.75" customHeight="1"/>
    <x:row r="814" s="47" customFormat="1" ht="15.75" customHeight="1"/>
    <x:row r="815" s="47" customFormat="1" ht="15.75" customHeight="1"/>
    <x:row r="816" s="47" customFormat="1" ht="15.75" customHeight="1"/>
    <x:row r="817" s="47" customFormat="1" ht="15.75" customHeight="1"/>
    <x:row r="818" s="47" customFormat="1" ht="15.75" customHeight="1"/>
    <x:row r="819" s="47" customFormat="1" ht="15.75" customHeight="1"/>
    <x:row r="820" s="47" customFormat="1" ht="15.75" customHeight="1"/>
    <x:row r="821" s="47" customFormat="1" ht="15.75" customHeight="1"/>
    <x:row r="822" s="47" customFormat="1" ht="15.75" customHeight="1"/>
    <x:row r="823" s="47" customFormat="1" ht="15.75" customHeight="1"/>
    <x:row r="824" s="47" customFormat="1" ht="15.75" customHeight="1"/>
    <x:row r="825" s="47" customFormat="1" ht="15.75" customHeight="1"/>
    <x:row r="826" s="47" customFormat="1" ht="15.75" customHeight="1"/>
    <x:row r="827" s="47" customFormat="1" ht="15.75" customHeight="1"/>
    <x:row r="828" s="47" customFormat="1" ht="15.75" customHeight="1"/>
    <x:row r="829" s="47" customFormat="1" ht="15.75" customHeight="1"/>
    <x:row r="830" s="47" customFormat="1" ht="15.75" customHeight="1"/>
    <x:row r="831" s="47" customFormat="1" ht="15.75" customHeight="1"/>
    <x:row r="832" s="47" customFormat="1" ht="15.75" customHeight="1"/>
    <x:row r="833" s="47" customFormat="1" ht="15.75" customHeight="1"/>
    <x:row r="834" s="47" customFormat="1" ht="15.75" customHeight="1"/>
    <x:row r="835" s="47" customFormat="1" ht="15.75" customHeight="1"/>
    <x:row r="836" s="47" customFormat="1" ht="15.75" customHeight="1"/>
    <x:row r="837" s="47" customFormat="1" ht="15.75" customHeight="1"/>
    <x:row r="838" s="47" customFormat="1" ht="15.75" customHeight="1"/>
    <x:row r="839" s="47" customFormat="1" ht="15.75" customHeight="1"/>
    <x:row r="840" s="47" customFormat="1" ht="15.75" customHeight="1"/>
    <x:row r="841" s="47" customFormat="1" ht="15.75" customHeight="1"/>
    <x:row r="842" s="47" customFormat="1" ht="15.75" customHeight="1"/>
    <x:row r="843" s="47" customFormat="1" ht="15.75" customHeight="1"/>
    <x:row r="844" s="47" customFormat="1" ht="15.75" customHeight="1"/>
    <x:row r="845" s="47" customFormat="1" ht="15.75" customHeight="1"/>
    <x:row r="846" s="47" customFormat="1" ht="15.75" customHeight="1"/>
    <x:row r="847" s="47" customFormat="1" ht="15.75" customHeight="1"/>
    <x:row r="848" s="47" customFormat="1" ht="15.75" customHeight="1"/>
    <x:row r="849" s="47" customFormat="1" ht="15.75" customHeight="1"/>
    <x:row r="850" s="47" customFormat="1" ht="15.75" customHeight="1"/>
    <x:row r="851" s="47" customFormat="1" ht="15.75" customHeight="1"/>
    <x:row r="852" s="47" customFormat="1" ht="15.75" customHeight="1"/>
    <x:row r="853" s="47" customFormat="1" ht="15.75" customHeight="1"/>
    <x:row r="854" s="47" customFormat="1" ht="15.75" customHeight="1"/>
    <x:row r="855" s="47" customFormat="1" ht="15.75" customHeight="1"/>
    <x:row r="856" s="47" customFormat="1" ht="15.75" customHeight="1"/>
    <x:row r="857" s="47" customFormat="1" ht="15.75" customHeight="1"/>
    <x:row r="858" s="47" customFormat="1" ht="15.75" customHeight="1"/>
    <x:row r="859" s="47" customFormat="1" ht="15.75" customHeight="1"/>
    <x:row r="860" s="47" customFormat="1" ht="15.75" customHeight="1"/>
    <x:row r="861" s="47" customFormat="1" ht="15.75" customHeight="1"/>
    <x:row r="862" s="47" customFormat="1" ht="15.75" customHeight="1"/>
    <x:row r="863" s="47" customFormat="1" ht="15.75" customHeight="1"/>
    <x:row r="864" s="47" customFormat="1" ht="15.75" customHeight="1"/>
    <x:row r="865" s="47" customFormat="1" ht="15.75" customHeight="1"/>
    <x:row r="866" s="47" customFormat="1" ht="15.75" customHeight="1"/>
    <x:row r="867" s="47" customFormat="1" ht="15.75" customHeight="1"/>
    <x:row r="868" s="47" customFormat="1" ht="15.75" customHeight="1"/>
    <x:row r="869" s="47" customFormat="1" ht="15.75" customHeight="1"/>
    <x:row r="870" s="47" customFormat="1" ht="15.75" customHeight="1"/>
    <x:row r="871" s="47" customFormat="1" ht="15.75" customHeight="1"/>
    <x:row r="872" s="47" customFormat="1" ht="15.75" customHeight="1"/>
    <x:row r="873" s="47" customFormat="1" ht="15.75" customHeight="1"/>
    <x:row r="874" s="47" customFormat="1" ht="15.75" customHeight="1"/>
    <x:row r="875" s="47" customFormat="1" ht="15.75" customHeight="1"/>
    <x:row r="876" s="47" customFormat="1" ht="15.75" customHeight="1"/>
    <x:row r="877" s="47" customFormat="1" ht="15.75" customHeight="1"/>
    <x:row r="878" s="47" customFormat="1" ht="15.75" customHeight="1"/>
    <x:row r="879" s="47" customFormat="1" ht="15.75" customHeight="1"/>
    <x:row r="880" s="47" customFormat="1" ht="15.75" customHeight="1"/>
    <x:row r="881" s="47" customFormat="1" ht="15.75" customHeight="1"/>
    <x:row r="882" s="47" customFormat="1" ht="15.75" customHeight="1"/>
    <x:row r="883" s="47" customFormat="1" ht="15.75" customHeight="1"/>
    <x:row r="884" s="47" customFormat="1" ht="15.75" customHeight="1"/>
    <x:row r="885" s="47" customFormat="1" ht="15.75" customHeight="1"/>
    <x:row r="886" s="47" customFormat="1" ht="15.75" customHeight="1"/>
    <x:row r="887" s="47" customFormat="1" ht="15.75" customHeight="1"/>
    <x:row r="888" s="47" customFormat="1" ht="15.75" customHeight="1"/>
    <x:row r="889" s="47" customFormat="1" ht="15.75" customHeight="1"/>
    <x:row r="890" s="47" customFormat="1" ht="15.75" customHeight="1"/>
    <x:row r="891" s="47" customFormat="1" ht="15.75" customHeight="1"/>
    <x:row r="892" s="47" customFormat="1" ht="15.75" customHeight="1"/>
    <x:row r="893" s="47" customFormat="1" ht="15.75" customHeight="1"/>
    <x:row r="894" s="47" customFormat="1" ht="15.75" customHeight="1"/>
    <x:row r="895" s="47" customFormat="1" ht="15.75" customHeight="1"/>
    <x:row r="896" s="47" customFormat="1" ht="15.75" customHeight="1"/>
    <x:row r="897" s="47" customFormat="1" ht="15.75" customHeight="1"/>
    <x:row r="898" s="47" customFormat="1" ht="15.75" customHeight="1"/>
    <x:row r="899" s="47" customFormat="1" ht="15.75" customHeight="1"/>
    <x:row r="900" s="47" customFormat="1" ht="15.75" customHeight="1"/>
    <x:row r="901" s="47" customFormat="1" ht="15.75" customHeight="1"/>
    <x:row r="902" s="47" customFormat="1" ht="15.75" customHeight="1"/>
    <x:row r="903" s="47" customFormat="1" ht="15.75" customHeight="1"/>
    <x:row r="904" s="47" customFormat="1" ht="15.75" customHeight="1"/>
    <x:row r="905" s="47" customFormat="1" ht="15.75" customHeight="1"/>
    <x:row r="906" s="47" customFormat="1" ht="15.75" customHeight="1"/>
    <x:row r="907" s="47" customFormat="1" ht="15.75" customHeight="1"/>
    <x:row r="908" s="47" customFormat="1" ht="15.75" customHeight="1"/>
    <x:row r="909" s="47" customFormat="1" ht="15.75" customHeight="1"/>
    <x:row r="910" s="47" customFormat="1" ht="15.75" customHeight="1"/>
    <x:row r="911" s="47" customFormat="1" ht="15.75" customHeight="1"/>
    <x:row r="912" s="47" customFormat="1" ht="15.75" customHeight="1"/>
    <x:row r="913" s="47" customFormat="1" ht="15.75" customHeight="1"/>
    <x:row r="914" s="47" customFormat="1" ht="15.75" customHeight="1"/>
    <x:row r="915" s="47" customFormat="1" ht="15.75" customHeight="1"/>
    <x:row r="916" s="47" customFormat="1" ht="15.75" customHeight="1"/>
    <x:row r="917" s="47" customFormat="1" ht="15.75" customHeight="1"/>
    <x:row r="918" s="47" customFormat="1" ht="15.75" customHeight="1"/>
    <x:row r="919" s="47" customFormat="1" ht="15.75" customHeight="1"/>
    <x:row r="920" s="47" customFormat="1" ht="15.75" customHeight="1"/>
    <x:row r="921" s="47" customFormat="1" ht="15.75" customHeight="1"/>
    <x:row r="922" s="47" customFormat="1" ht="15.75" customHeight="1"/>
    <x:row r="923" s="47" customFormat="1" ht="15.75" customHeight="1"/>
    <x:row r="924" s="47" customFormat="1" ht="15.75" customHeight="1"/>
    <x:row r="925" s="47" customFormat="1" ht="15.75" customHeight="1"/>
    <x:row r="926" s="47" customFormat="1" ht="15.75" customHeight="1"/>
    <x:row r="927" s="47" customFormat="1" ht="15.75" customHeight="1"/>
    <x:row r="928" s="47" customFormat="1" ht="15.75" customHeight="1"/>
    <x:row r="929" s="47" customFormat="1" ht="15.75" customHeight="1"/>
    <x:row r="930" s="47" customFormat="1" ht="15.75" customHeight="1"/>
    <x:row r="931" s="47" customFormat="1" ht="15.75" customHeight="1"/>
    <x:row r="932" s="47" customFormat="1" ht="15.75" customHeight="1"/>
    <x:row r="933" s="47" customFormat="1" ht="15.75" customHeight="1"/>
    <x:row r="934" s="47" customFormat="1" ht="15.75" customHeight="1"/>
    <x:row r="935" s="47" customFormat="1" ht="15.75" customHeight="1"/>
    <x:row r="936" s="47" customFormat="1" ht="15.75" customHeight="1"/>
    <x:row r="937" s="47" customFormat="1" ht="15.75" customHeight="1"/>
    <x:row r="938" s="47" customFormat="1" ht="15.75" customHeight="1"/>
    <x:row r="939" s="47" customFormat="1" ht="15.75" customHeight="1"/>
    <x:row r="940" s="47" customFormat="1" ht="15.75" customHeight="1"/>
    <x:row r="941" s="47" customFormat="1" ht="15.75" customHeight="1"/>
    <x:row r="942" s="47" customFormat="1" ht="15.75" customHeight="1"/>
    <x:row r="943" s="47" customFormat="1" ht="15.75" customHeight="1"/>
    <x:row r="944" s="47" customFormat="1" ht="15.75" customHeight="1"/>
    <x:row r="945" s="47" customFormat="1" ht="15.75" customHeight="1"/>
    <x:row r="946" s="47" customFormat="1" ht="15.75" customHeight="1"/>
    <x:row r="947" s="47" customFormat="1" ht="15.75" customHeight="1"/>
    <x:row r="948" s="47" customFormat="1" ht="15.75" customHeight="1"/>
    <x:row r="949" s="47" customFormat="1" ht="15.75" customHeight="1"/>
    <x:row r="950" s="47" customFormat="1" ht="15.75" customHeight="1"/>
    <x:row r="951" s="47" customFormat="1" ht="15.75" customHeight="1"/>
    <x:row r="952" s="47" customFormat="1" ht="15.75" customHeight="1"/>
    <x:row r="953" s="47" customFormat="1" ht="15.75" customHeight="1"/>
    <x:row r="954" s="47" customFormat="1" ht="15.75" customHeight="1"/>
    <x:row r="955" s="47" customFormat="1" ht="15.75" customHeight="1"/>
    <x:row r="956" s="47" customFormat="1" ht="15.75" customHeight="1"/>
    <x:row r="957" s="47" customFormat="1" ht="15.75" customHeight="1"/>
    <x:row r="958" s="47" customFormat="1" ht="15.75" customHeight="1"/>
    <x:row r="959" s="47" customFormat="1" ht="15.75" customHeight="1"/>
    <x:row r="960" s="47" customFormat="1" ht="15.75" customHeight="1"/>
    <x:row r="961" s="47" customFormat="1" ht="15.75" customHeight="1"/>
    <x:row r="962" s="47" customFormat="1" ht="15.75" customHeight="1"/>
    <x:row r="963" s="47" customFormat="1" ht="15.75" customHeight="1"/>
    <x:row r="964" s="47" customFormat="1" ht="15.75" customHeight="1"/>
    <x:row r="965" s="47" customFormat="1" ht="15.75" customHeight="1"/>
    <x:row r="966" s="47" customFormat="1" ht="15.75" customHeight="1"/>
    <x:row r="967" s="47" customFormat="1" ht="15.75" customHeight="1"/>
    <x:row r="968" s="47" customFormat="1" ht="15.75" customHeight="1"/>
    <x:row r="969" s="47" customFormat="1" ht="15.75" customHeight="1"/>
    <x:row r="970" s="47" customFormat="1" ht="15.75" customHeight="1"/>
    <x:row r="971" s="47" customFormat="1" ht="15.75" customHeight="1"/>
    <x:row r="972" s="47" customFormat="1" ht="15.75" customHeight="1"/>
    <x:row r="973" s="47" customFormat="1" ht="15.75" customHeight="1"/>
    <x:row r="974" s="47" customFormat="1" ht="15.75" customHeight="1"/>
    <x:row r="975" s="47" customFormat="1" ht="15.75" customHeight="1"/>
    <x:row r="976" s="47" customFormat="1" ht="15.75" customHeight="1"/>
    <x:row r="977" s="47" customFormat="1" ht="15.75" customHeight="1"/>
    <x:row r="978" s="47" customFormat="1" ht="15.75" customHeight="1"/>
    <x:row r="979" s="47" customFormat="1" ht="15.75" customHeight="1"/>
    <x:row r="980" s="47" customFormat="1" ht="15.75" customHeight="1"/>
    <x:row r="981" s="47" customFormat="1" ht="15.75" customHeight="1"/>
    <x:row r="982" s="47" customFormat="1" ht="15.75" customHeight="1"/>
    <x:row r="983" s="47" customFormat="1" ht="15.75" customHeight="1"/>
    <x:row r="984" s="47" customFormat="1" ht="15.75" customHeight="1"/>
    <x:row r="985" s="47" customFormat="1" ht="15.75" customHeight="1"/>
    <x:row r="986" s="47" customFormat="1" ht="15.75" customHeight="1"/>
    <x:row r="987" s="47" customFormat="1" ht="15.75" customHeight="1"/>
    <x:row r="988" s="47" customFormat="1" ht="15.75" customHeight="1"/>
    <x:row r="989" s="47" customFormat="1" ht="15.75" customHeight="1"/>
    <x:row r="990" s="47" customFormat="1" ht="15.75" customHeight="1"/>
    <x:row r="991" s="47" customFormat="1" ht="15.75" customHeight="1"/>
    <x:row r="992" s="47" customFormat="1" ht="15.75" customHeight="1"/>
    <x:row r="993" s="47" customFormat="1" ht="15.75" customHeight="1"/>
    <x:row r="994" s="47" customFormat="1" ht="15.75" customHeight="1"/>
    <x:row r="995" s="47" customFormat="1" ht="15.75" customHeight="1"/>
    <x:row r="996" s="47" customFormat="1" ht="15.75" customHeight="1"/>
    <x:row r="997" s="47" customFormat="1" ht="15.75" customHeight="1"/>
    <x:row r="998" s="47" customFormat="1" ht="15.75" customHeight="1"/>
    <x:row r="999" s="47" customFormat="1" ht="15.75" customHeight="1"/>
    <x:row r="1000" s="47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style="47" customWidth="1"/>
    <x:col min="2" max="2" width="14" style="47" customWidth="1"/>
    <x:col min="3" max="3" width="24" style="47" customWidth="1"/>
    <x:col min="4" max="4" width="34" style="47" customWidth="1"/>
    <x:col min="5" max="5" width="14" style="47" customWidth="1"/>
    <x:col min="6" max="6" width="18" style="47" customWidth="1"/>
    <x:col min="7" max="7" width="52" style="47" customWidth="1"/>
  </x:cols>
  <x:sheetData>
    <x:row r="1">
      <x:c r="A1" s="51" t="inlineStr">
        <x:is>
          <x:t xml:space="preserve">Sales Stage Details</x:t>
        </x:is>
      </x:c>
    </x:row>
    <x:row r="2">
      <x:c r="A2" s="52" t="inlineStr">
        <x:is>
          <x:t xml:space="preserve">Optional detail feed used by the Sales dashboard for this month / this week breakdowns. Update rows below as needed.</x:t>
        </x:is>
      </x:c>
    </x:row>
    <x:row r="4">
      <x:c r="A4" s="53" t="inlineStr">
        <x:is>
          <x:t xml:space="preserve">Stage</x:t>
        </x:is>
      </x:c>
      <x:c r="B4" s="53" t="inlineStr">
        <x:is>
          <x:t xml:space="preserve">Period</x:t>
        </x:is>
      </x:c>
      <x:c r="C4" s="53" t="inlineStr">
        <x:is>
          <x:t xml:space="preserve">Client</x:t>
        </x:is>
      </x:c>
      <x:c r="D4" s="53" t="inlineStr">
        <x:is>
          <x:t xml:space="preserve">Opportunity</x:t>
        </x:is>
      </x:c>
      <x:c r="E4" s="53" t="inlineStr">
        <x:is>
          <x:t xml:space="preserve">Value_SAR</x:t>
        </x:is>
      </x:c>
      <x:c r="F4" s="53" t="inlineStr">
        <x:is>
          <x:t xml:space="preserve">Owner</x:t>
        </x:is>
      </x:c>
      <x:c r="G4" s="53" t="inlineStr">
        <x:is>
          <x:t xml:space="preserve">Notes</x:t>
        </x:is>
      </x:c>
    </x:row>
    <x:row r="5">
      <x:c r="A5" t="inlineStr">
        <x:is>
          <x:t xml:space="preserve">Active Proposal</x:t>
        </x:is>
      </x:c>
      <x:c r="B5" t="inlineStr">
        <x:is>
          <x:t xml:space="preserve">This Month</x:t>
        </x:is>
      </x:c>
      <x:c r="C5" t="inlineStr">
        <x:is>
          <x:t xml:space="preserve">TADAWUL</x:t>
        </x:is>
      </x:c>
      <x:c r="D5" t="inlineStr">
        <x:is>
          <x:t xml:space="preserve">Active pipeline item</x:t>
        </x:is>
      </x:c>
      <x:c r="E5" t="n">
        <x:v>330000</x:v>
      </x:c>
      <x:c r="F5" t="inlineStr">
        <x:is>
          <x:t xml:space="preserve"/>
        </x:is>
      </x:c>
      <x:c r="G5" t="inlineStr">
        <x:is>
          <x:t xml:space="preserve">Auto-seeded from Pipeline_Revenue</x:t>
        </x:is>
      </x:c>
    </x:row>
    <x:row r="6">
      <x:c r="A6" t="inlineStr">
        <x:is>
          <x:t xml:space="preserve">Lead</x:t>
        </x:is>
      </x:c>
      <x:c r="B6" t="inlineStr">
        <x:is>
          <x:t xml:space="preserve">This Month</x:t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>Add lead rows here if you want the dashboard to show client-level detail for leads.</x:t>
        </x:is>
      </x:c>
    </x:row>
    <x:row r="7">
      <x:c r="A7" t="inlineStr">
        <x:is>
          <x:t xml:space="preserve">Lead</x:t>
        </x:is>
      </x:c>
      <x:c r="B7" t="inlineStr">
        <x:is>
          <x:t xml:space="preserve">This Week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>Weekly detail is manual because the current raw opportunity source does not contain exact dates.</x:t>
        </x:is>
      </x:c>
    </x:row>
    <x:row r="8">
      <x:c r="A8" t="inlineStr">
        <x:is>
          <x:t xml:space="preserve">Active Proposal</x:t>
        </x:is>
      </x:c>
      <x:c r="B8" t="inlineStr">
        <x:is>
          <x:t xml:space="preserve">This Week</x:t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>Add weekly active proposal detail here if needed.</x:t>
        </x:is>
      </x:c>
    </x:row>
    <x:row r="9">
      <x:c r="A9" t="inlineStr">
        <x:is>
          <x:t xml:space="preserve">Submitted</x:t>
        </x:is>
      </x:c>
      <x:c r="B9" t="inlineStr">
        <x:is>
          <x:t xml:space="preserve">This Week</x:t>
        </x:is>
      </x:c>
      <x:c r="C9" t="inlineStr">
        <x:is>
          <x:t xml:space="preserve"/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>Add weekly submitted detail here if needed.</x:t>
        </x:is>
      </x:c>
    </x:row>
    <x:row r="10">
      <x:c r="A10" t="inlineStr">
        <x:is>
          <x:t xml:space="preserve">Won</x:t>
        </x:is>
      </x:c>
      <x:c r="B10" t="inlineStr">
        <x:is>
          <x:t xml:space="preserve">This Week</x:t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>Add weekly won detail here if needed.</x:t>
        </x:is>
      </x:c>
    </x:row>
  </x:sheetData>
  <x:pageMargins left="0.7" right="0.7" top="0.75" bottom="0.75" header="0.3" footer="0.3"/>
</x:worksheet>
</file>