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tables/table1.xml" ContentType="application/vnd.openxmlformats-officedocument.spreadsheetml.table+xml"/>
  <Override PartName="/xl/drawings/drawing8.xml" ContentType="application/vnd.openxmlformats-officedocument.drawing+xml"/>
  <Override PartName="/xl/tables/table2.xml" ContentType="application/vnd.openxmlformats-officedocument.spreadsheetml.table+xml"/>
  <Override PartName="/xl/drawings/drawing9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"/>
    </mc:Choice>
  </mc:AlternateContent>
  <xr:revisionPtr revIDLastSave="0" documentId="8_{2A14240B-42DB-44DB-917D-F7BA5474A8C5}" xr6:coauthVersionLast="47" xr6:coauthVersionMax="47" xr10:uidLastSave="{00000000-0000-0000-0000-000000000000}"/>
  <bookViews>
    <workbookView xWindow="-108" yWindow="-108" windowWidth="23256" windowHeight="12456" tabRatio="960" firstSheet="2" activeTab="10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r:id="rId10"/>
    <sheet name="Sales_Stage_Details" sheetId="11" r:id="rId1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C14" i="9"/>
  <c r="B14" i="9"/>
  <c r="D14" i="9" s="1"/>
  <c r="C13" i="9"/>
  <c r="B13" i="9"/>
  <c r="B12" i="9"/>
  <c r="D12" i="9" s="1"/>
  <c r="C11" i="9"/>
  <c r="B11" i="9"/>
  <c r="H8" i="9"/>
  <c r="D8" i="9"/>
  <c r="C8" i="9"/>
  <c r="B8" i="9"/>
  <c r="H7" i="9"/>
  <c r="D7" i="9"/>
  <c r="C7" i="9"/>
  <c r="B7" i="9"/>
  <c r="H6" i="9"/>
  <c r="D6" i="9"/>
  <c r="C6" i="9"/>
  <c r="C12" i="9" s="1"/>
  <c r="B6" i="9"/>
  <c r="H5" i="9"/>
  <c r="G23" i="7"/>
  <c r="G22" i="7"/>
  <c r="G21" i="7"/>
  <c r="G20" i="7"/>
  <c r="G19" i="7"/>
  <c r="G18" i="7"/>
  <c r="G17" i="7"/>
  <c r="G16" i="7"/>
  <c r="G15" i="7"/>
  <c r="G14" i="7"/>
  <c r="G10" i="7"/>
  <c r="G9" i="7"/>
  <c r="G8" i="7"/>
  <c r="G7" i="7"/>
  <c r="G6" i="7"/>
  <c r="G5" i="7"/>
  <c r="G4" i="7"/>
  <c r="E28" i="6"/>
  <c r="D28" i="6"/>
  <c r="C28" i="6"/>
  <c r="C29" i="6" s="1"/>
  <c r="B28" i="6"/>
  <c r="F28" i="6" s="1"/>
  <c r="E27" i="6"/>
  <c r="E29" i="6" s="1"/>
  <c r="D27" i="6"/>
  <c r="F27" i="6" s="1"/>
  <c r="C27" i="6"/>
  <c r="B27" i="6"/>
  <c r="C23" i="6"/>
  <c r="B23" i="6"/>
  <c r="D22" i="6"/>
  <c r="D21" i="6"/>
  <c r="H20" i="6"/>
  <c r="D20" i="6"/>
  <c r="D19" i="6"/>
  <c r="D18" i="6"/>
  <c r="D17" i="6"/>
  <c r="D16" i="6"/>
  <c r="D15" i="6"/>
  <c r="D14" i="6"/>
  <c r="D13" i="6"/>
  <c r="D23" i="6" s="1"/>
  <c r="D12" i="6"/>
  <c r="D11" i="6"/>
  <c r="B7" i="6"/>
  <c r="F10" i="5"/>
  <c r="G10" i="5" s="1"/>
  <c r="F9" i="5"/>
  <c r="G9" i="5" s="1"/>
  <c r="E16" i="4"/>
  <c r="D16" i="4"/>
  <c r="C16" i="4"/>
  <c r="F16" i="4" s="1"/>
  <c r="E15" i="4"/>
  <c r="E17" i="4" s="1"/>
  <c r="D15" i="4"/>
  <c r="C15" i="4"/>
  <c r="C17" i="4" s="1"/>
  <c r="B15" i="4"/>
  <c r="F15" i="4" s="1"/>
  <c r="B7" i="4" s="1"/>
  <c r="E14" i="4"/>
  <c r="D14" i="4"/>
  <c r="D17" i="4" s="1"/>
  <c r="C14" i="4"/>
  <c r="F14" i="4" s="1"/>
  <c r="B6" i="4" s="1"/>
  <c r="B14" i="4"/>
  <c r="F13" i="4"/>
  <c r="F12" i="4"/>
  <c r="F11" i="4"/>
  <c r="B5" i="4"/>
  <c r="F15" i="3"/>
  <c r="E13" i="3"/>
  <c r="E16" i="3" s="1"/>
  <c r="D13" i="3"/>
  <c r="D16" i="3" s="1"/>
  <c r="C13" i="3"/>
  <c r="C14" i="3" s="1"/>
  <c r="B13" i="3"/>
  <c r="B14" i="3" s="1"/>
  <c r="F12" i="3"/>
  <c r="F11" i="3"/>
  <c r="B5" i="3" s="1"/>
  <c r="B8" i="3"/>
  <c r="D14" i="3" l="1"/>
  <c r="B29" i="6"/>
  <c r="E14" i="3"/>
  <c r="B17" i="4"/>
  <c r="D29" i="6"/>
  <c r="B16" i="3"/>
  <c r="B5" i="6"/>
  <c r="C16" i="3"/>
  <c r="F13" i="3"/>
  <c r="B6" i="3" l="1"/>
  <c r="F14" i="3"/>
  <c r="F16" i="3"/>
  <c r="B7" i="3" s="1"/>
  <c r="B18" i="4"/>
  <c r="F17" i="4"/>
  <c r="F29" i="6"/>
  <c r="C11" i="4" l="1"/>
  <c r="C18" i="4" s="1"/>
  <c r="B19" i="4"/>
  <c r="D11" i="4" l="1"/>
  <c r="D18" i="4" s="1"/>
  <c r="C19" i="4"/>
  <c r="E11" i="4" l="1"/>
  <c r="E18" i="4" s="1"/>
  <c r="D19" i="4"/>
  <c r="E19" i="4" l="1"/>
  <c r="F18" i="4"/>
  <c r="F19" i="4" l="1"/>
  <c r="B8" i="4"/>
</calcChain>
</file>

<file path=xl/sharedStrings.xml><?xml version="1.0" encoding="utf-8"?>
<sst xmlns="http://schemas.openxmlformats.org/spreadsheetml/2006/main" count="625" uniqueCount="365">
  <si>
    <t>SAAFAH Dashboard Google Sheets Template</t>
  </si>
  <si>
    <t>Built from the uploaded HTML dashboard structure. Sheets are organized to match the dashboard tabs, including Sales Performance.</t>
  </si>
  <si>
    <t>How to use</t>
  </si>
  <si>
    <t>1. Keep this XLSX file in the same GitHub/Vercel folder as index_excel_linked.html.</t>
  </si>
  <si>
    <t>2. Update the blue-font input cells and the raw data tables.</t>
  </si>
  <si>
    <t>3. Re-upload the XLSX when data changes; the HTML reads directly from this workbook.</t>
  </si>
  <si>
    <t>4. Keep formulas intact; Excel will recalculate on save.</t>
  </si>
  <si>
    <t>5. Use the Dashboard_Map sheet to connect each dashboard section to the right tab/range.</t>
  </si>
  <si>
    <t>6.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</si>
  <si>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</si>
  <si>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</si>
  <si>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</si>
  <si>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</si>
  <si>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</si>
  <si>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</si>
  <si>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</si>
  <si>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</si>
  <si>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</si>
  <si>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</si>
  <si>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</si>
  <si>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</si>
  <si>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</si>
  <si>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</si>
  <si>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</si>
  <si>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</si>
  <si>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</si>
  <si>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</si>
  <si>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</si>
  <si>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</si>
  <si>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</si>
  <si>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</si>
  <si>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</si>
  <si>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</si>
  <si>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</si>
  <si>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</si>
  <si>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</si>
  <si>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</si>
  <si>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</si>
  <si>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</si>
  <si>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</si>
  <si>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</si>
  <si>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</si>
  <si>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</si>
  <si>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</si>
  <si>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</si>
  <si>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</si>
  <si>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</si>
  <si>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</si>
  <si>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</si>
  <si>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</si>
  <si>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</si>
  <si>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</si>
  <si>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</si>
  <si>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</si>
  <si>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</si>
  <si>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</si>
  <si>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</si>
  <si>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</si>
  <si>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</si>
  <si>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</si>
  <si>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</si>
  <si>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</si>
  <si>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</si>
  <si>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</si>
  <si>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</si>
  <si>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</si>
  <si>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</si>
  <si>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</si>
  <si>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</si>
  <si>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</si>
  <si>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</si>
  <si>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</si>
  <si>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</si>
  <si>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</si>
  <si>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</si>
  <si>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</si>
  <si>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</si>
  <si>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</si>
  <si>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</si>
  <si>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</si>
  <si>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</si>
  <si>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</si>
  <si>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</si>
  <si>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</si>
  <si>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</si>
  <si>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</si>
  <si>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</si>
  <si>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</si>
  <si>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</si>
  <si>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</si>
  <si>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</si>
  <si>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</si>
  <si>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</si>
  <si>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</si>
  <si>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</si>
  <si>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</si>
  <si>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</si>
  <si>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</si>
  <si>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</si>
  <si>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</si>
  <si>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</si>
  <si>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</si>
  <si>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</si>
  <si>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</si>
  <si>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</si>
  <si>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</si>
  <si>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</si>
  <si>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</si>
  <si>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</si>
  <si>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</si>
  <si>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</si>
  <si>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</si>
  <si>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</si>
  <si>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</si>
  <si>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</si>
  <si>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</si>
  <si>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</si>
  <si>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</si>
  <si>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</si>
  <si>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</si>
  <si>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</si>
  <si>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</si>
  <si>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</si>
  <si>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</si>
  <si>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</si>
  <si>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</si>
  <si>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</si>
  <si>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</si>
  <si>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</si>
  <si>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</si>
  <si>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</si>
  <si>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</si>
  <si>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</si>
  <si>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</si>
  <si>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</si>
  <si>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</si>
  <si>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</si>
  <si>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</si>
  <si>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</si>
  <si>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</si>
  <si>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</si>
  <si>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</si>
  <si>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</si>
  <si>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</si>
  <si>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</si>
  <si>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</si>
  <si>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</si>
  <si>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</si>
  <si>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</si>
  <si>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</si>
  <si>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</si>
  <si>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</si>
  <si>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</si>
  <si>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</si>
  <si>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</si>
  <si>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</si>
  <si>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</si>
  <si>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</si>
  <si>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</si>
  <si>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</si>
  <si>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</si>
  <si>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</si>
  <si>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</si>
  <si>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</si>
  <si>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</si>
  <si>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</si>
  <si>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</si>
  <si>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</si>
  <si>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</si>
  <si>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</si>
  <si>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</si>
  <si>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</si>
  <si>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</si>
  <si>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</si>
  <si>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</si>
  <si>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</si>
  <si>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</si>
  <si>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</si>
  <si>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</si>
  <si>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</si>
  <si>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</si>
  <si>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</si>
  <si>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</si>
  <si>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</si>
  <si>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</si>
  <si>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</si>
  <si>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</si>
  <si>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</si>
  <si>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</si>
  <si>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</si>
  <si>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</si>
  <si>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</si>
  <si>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</si>
  <si>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</si>
  <si>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</si>
  <si>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</si>
  <si>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</si>
  <si>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</si>
  <si>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</si>
  <si>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</si>
  <si>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</si>
  <si>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</si>
  <si>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</si>
  <si>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</si>
  <si>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</si>
  <si>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</si>
  <si>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</si>
  <si>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</si>
  <si>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</si>
  <si>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</si>
  <si>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</si>
  <si>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</si>
  <si>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</si>
  <si>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</si>
  <si>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</si>
  <si>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</si>
  <si>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</si>
  <si>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</si>
  <si>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</si>
  <si>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</si>
  <si>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</si>
  <si>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</si>
  <si>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</si>
  <si>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Current dashboard item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</si>
  <si>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</si>
  <si>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</si>
  <si>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</si>
  <si>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</si>
  <si>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</si>
  <si>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</si>
  <si>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</si>
  <si>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</si>
  <si>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</si>
  <si>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</si>
  <si>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</si>
  <si>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</si>
  <si>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</si>
  <si>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</si>
  <si>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</si>
  <si>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</si>
  <si>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</si>
  <si>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</si>
  <si>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</si>
  <si>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</si>
  <si>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</si>
  <si>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</si>
  <si>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</si>
  <si>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</si>
  <si>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</si>
  <si>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</si>
  <si>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</si>
  <si>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</si>
  <si>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</si>
  <si>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</si>
  <si>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</si>
  <si>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</si>
  <si>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</si>
  <si>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</si>
  <si>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</si>
  <si>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Imported from dashboard</t>
  </si>
  <si>
    <t>SIDF</t>
  </si>
  <si>
    <t>ESG Workshop</t>
  </si>
  <si>
    <t>Sep 2025</t>
  </si>
  <si>
    <t>KSA Sustainability Champions</t>
  </si>
  <si>
    <t>Dec 2025</t>
  </si>
  <si>
    <t>Tadawul Group</t>
  </si>
  <si>
    <t>GDP ESG Workshop</t>
  </si>
  <si>
    <t>Oct 2025</t>
  </si>
  <si>
    <t>Center For Gov.</t>
  </si>
  <si>
    <t>ESG Course Development</t>
  </si>
  <si>
    <t>Won</t>
  </si>
  <si>
    <t>GOSI</t>
  </si>
  <si>
    <t>Enablement Program</t>
  </si>
  <si>
    <t>Feb 2026</t>
  </si>
  <si>
    <t>ESG &amp; Corp. Governance</t>
  </si>
  <si>
    <t>Aug 2025</t>
  </si>
  <si>
    <t>KACST</t>
  </si>
  <si>
    <t>Elevating KACST's ESG Story</t>
  </si>
  <si>
    <t>KAUST</t>
  </si>
  <si>
    <t>From Lab to Kingdom</t>
  </si>
  <si>
    <t>King Saud Univ.</t>
  </si>
  <si>
    <t>Future Proofing KSU Graduates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</si>
  <si>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</si>
  <si>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</si>
  <si>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</si>
  <si>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</si>
  <si>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</si>
  <si>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</si>
  <si>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</si>
  <si>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</si>
  <si>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</si>
  <si>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Obeikan</t>
  </si>
  <si>
    <t>RPI ESG Workshop</t>
  </si>
  <si>
    <t>Nov 2025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</si>
  <si>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</si>
  <si>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</si>
  <si>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</si>
  <si>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</si>
  <si>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</si>
  <si>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</si>
  <si>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</si>
  <si>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</si>
  <si>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</si>
  <si>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</si>
  <si>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</si>
  <si>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</si>
  <si>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</si>
  <si>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</si>
  <si>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</si>
  <si>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</si>
  <si>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</si>
  <si>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</si>
  <si>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</si>
  <si>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</si>
  <si>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</si>
  <si>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</si>
  <si>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</si>
  <si>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</si>
  <si>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</si>
  <si>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</si>
  <si>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</si>
  <si>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</si>
  <si>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</si>
  <si>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</si>
  <si>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</si>
  <si>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</si>
  <si>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</si>
  <si>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</si>
  <si>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Derived from submitted opportunities</t>
  </si>
  <si>
    <t>Won This Year</t>
  </si>
  <si>
    <t>Derived from won opportunities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</si>
  <si>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</si>
  <si>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</si>
  <si>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</si>
  <si>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</si>
  <si>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</si>
  <si>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</si>
  <si>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</si>
  <si>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</si>
  <si>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</si>
  <si>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</si>
  <si>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</si>
  <si>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</si>
  <si>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</si>
  <si>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</si>
  <si>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</si>
  <si>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</si>
  <si>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</si>
  <si>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</si>
  <si>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</si>
  <si>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</si>
  <si>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</si>
  <si>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Month</t>
  </si>
  <si>
    <t>Active pipeline item</t>
  </si>
  <si>
    <t/>
  </si>
  <si>
    <t>Auto-seeded from Pipeline_Revenue</t>
  </si>
  <si>
    <t>Add lead rows here if you want the dashboard to show client-level detail for leads.</t>
  </si>
  <si>
    <t>This Week</t>
  </si>
  <si>
    <t>Weekly detail is manual because the current raw opportunity source does not contain exact dates.</t>
  </si>
  <si>
    <t>Add weekly active proposal detail here if needed.</t>
  </si>
  <si>
    <t>Add weekly submitted detail here if needed.</t>
  </si>
  <si>
    <t>Add weekly won detail here if needed.</t>
  </si>
  <si>
    <t>Humain, Riyadh Air, Expo, Nestle, Kpmg, EY, Accenture, NCFB</t>
  </si>
  <si>
    <t xml:space="preserve">MEP , Nadec </t>
  </si>
  <si>
    <t>MEP, ITQAN, Humain, Expo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</si>
</sst>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,##0;[Red]\(#,##0\);\-"/>
    <numFmt numFmtId="165" formatCode="0.0%"/>
    <numFmt numFmtId="167" formatCode="_(* #,##0_);_(* \(#,##0\);_(* &quot;-&quot;??_);_(@_)"/>
  </numFmts>
  <fonts count="14" x14ac:knownFonts="1">
    <font>
      <sz val="11"/>
      <color theme="1"/>
      <name val="Calibri"/>
      <scheme val="minor"/>
    </font>
    <font>
      <b/>
      <sz val="14"/>
      <color rgb="FFFFFFFF"/>
      <name val="Calibri"/>
      <scheme val="minor"/>
    </font>
    <font>
      <sz val="11"/>
      <name val="Calibri"/>
    </font>
    <font>
      <i/>
      <sz val="9"/>
      <color rgb="FF666666"/>
      <name val="Calibri"/>
      <scheme val="minor"/>
    </font>
    <font>
      <b/>
      <sz val="10"/>
      <color rgb="FF000000"/>
      <name val="Calibri"/>
      <scheme val="minor"/>
    </font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b/>
      <sz val="10"/>
      <color rgb="FFFFFFFF"/>
      <name val="Calibri"/>
      <scheme val="minor"/>
    </font>
    <font>
      <sz val="11"/>
      <color theme="1"/>
      <name val="Calibri"/>
    </font>
    <font>
      <sz val="10"/>
      <color rgb="FF000000"/>
      <name val="Calibri"/>
      <scheme val="minor"/>
    </font>
    <font>
      <sz val="10"/>
      <color rgb="FF0000FF"/>
      <name val="Calibri"/>
      <scheme val="minor"/>
    </font>
    <font>
      <sz val="10"/>
      <color rgb="FF008000"/>
      <name val="Calibri"/>
      <scheme val="minor"/>
    </font>
    <font>
      <b/>
      <sz val="11"/>
      <color rgb="FFFFFFFF"/>
      <name val="Calibri"/>
    </font>
    <font>
      <b/>
      <sz val="1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4D20"/>
      </patternFill>
    </fill>
    <fill>
      <patternFill patternType="solid">
        <fgColor rgb="FFF8F1E3"/>
      </patternFill>
    </fill>
    <fill>
      <patternFill patternType="solid">
        <fgColor rgb="FFB08D3E"/>
      </patternFill>
    </fill>
    <fill>
      <patternFill patternType="solid">
        <fgColor rgb="FF1E4D20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40">
    <xf numFmtId="0" fontId="0" fillId="0" borderId="0" xfId="0"/>
    <xf numFmtId="0" fontId="4" fillId="0" borderId="0" xfId="0" applyFont="1"/>
    <xf numFmtId="0" fontId="5" fillId="0" borderId="0" xfId="0" applyFont="1"/>
    <xf numFmtId="0" fontId="7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1" xfId="0" applyNumberFormat="1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4" fontId="9" fillId="0" borderId="1" xfId="0" applyNumberFormat="1" applyFont="1" applyBorder="1" applyAlignment="1">
      <alignment horizontal="right" vertical="center"/>
    </xf>
    <xf numFmtId="165" fontId="9" fillId="0" borderId="1" xfId="0" applyNumberFormat="1" applyFont="1" applyBorder="1" applyAlignment="1">
      <alignment horizontal="right" vertical="center"/>
    </xf>
    <xf numFmtId="9" fontId="9" fillId="0" borderId="1" xfId="0" applyNumberFormat="1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0" fontId="7" fillId="2" borderId="2" xfId="0" applyFont="1" applyFill="1" applyBorder="1" applyAlignment="1">
      <alignment horizontal="center" vertical="center"/>
    </xf>
    <xf numFmtId="164" fontId="11" fillId="0" borderId="0" xfId="0" applyNumberFormat="1" applyFont="1"/>
    <xf numFmtId="165" fontId="9" fillId="0" borderId="0" xfId="0" applyNumberFormat="1" applyFont="1"/>
    <xf numFmtId="164" fontId="9" fillId="0" borderId="0" xfId="0" applyNumberFormat="1" applyFont="1"/>
    <xf numFmtId="164" fontId="10" fillId="0" borderId="0" xfId="0" applyNumberFormat="1" applyFont="1"/>
    <xf numFmtId="165" fontId="10" fillId="0" borderId="1" xfId="0" applyNumberFormat="1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165" fontId="4" fillId="0" borderId="0" xfId="0" applyNumberFormat="1" applyFont="1"/>
    <xf numFmtId="0" fontId="10" fillId="0" borderId="0" xfId="0" applyFont="1"/>
    <xf numFmtId="0" fontId="13" fillId="0" borderId="0" xfId="0" applyFont="1"/>
    <xf numFmtId="0" fontId="2" fillId="0" borderId="0" xfId="0" applyFont="1" applyAlignment="1">
      <alignment wrapText="1"/>
    </xf>
    <xf numFmtId="0" fontId="12" fillId="5" borderId="0" xfId="0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/>
    </xf>
    <xf numFmtId="0" fontId="0" fillId="0" borderId="0" xfId="0"/>
    <xf numFmtId="0" fontId="1" fillId="2" borderId="2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left" vertical="center"/>
    </xf>
    <xf numFmtId="167" fontId="0" fillId="0" borderId="0" xfId="1" applyNumberFormat="1" applyFont="1"/>
    <xf numFmtId="167" fontId="12" fillId="5" borderId="0" xfId="1" applyNumberFormat="1" applyFont="1" applyFill="1" applyAlignment="1">
      <alignment horizontal="center"/>
    </xf>
    <xf numFmtId="167" fontId="0" fillId="0" borderId="3" xfId="1" applyNumberFormat="1" applyFont="1" applyBorder="1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5974080</xdr:colOff>
      <xdr:row>39</xdr:row>
      <xdr:rowOff>152400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5F8070F6-9724-1C09-1CB3-18F10522A399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624840</xdr:colOff>
      <xdr:row>36</xdr:row>
      <xdr:rowOff>15240</xdr:rowOff>
    </xdr:to>
    <xdr:sp macro="" textlink="">
      <xdr:nvSpPr>
        <xdr:cNvPr id="2050" name="Text Box 2" hidden="1">
          <a:extLst>
            <a:ext uri="{FF2B5EF4-FFF2-40B4-BE49-F238E27FC236}">
              <a16:creationId xmlns:a16="http://schemas.microsoft.com/office/drawing/2014/main" id="{85F205F9-D955-47F6-85B6-678B3AF152E2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441960</xdr:colOff>
      <xdr:row>39</xdr:row>
      <xdr:rowOff>152400</xdr:rowOff>
    </xdr:to>
    <xdr:sp macro="" textlink="">
      <xdr:nvSpPr>
        <xdr:cNvPr id="3074" name="Text Box 2" hidden="1">
          <a:extLst>
            <a:ext uri="{FF2B5EF4-FFF2-40B4-BE49-F238E27FC236}">
              <a16:creationId xmlns:a16="http://schemas.microsoft.com/office/drawing/2014/main" id="{A325C8D9-A241-0E1D-D5F0-6B1555B90F8B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441960</xdr:colOff>
      <xdr:row>39</xdr:row>
      <xdr:rowOff>152400</xdr:rowOff>
    </xdr:to>
    <xdr:sp macro="" textlink="">
      <xdr:nvSpPr>
        <xdr:cNvPr id="4098" name="Text Box 2" hidden="1">
          <a:extLst>
            <a:ext uri="{FF2B5EF4-FFF2-40B4-BE49-F238E27FC236}">
              <a16:creationId xmlns:a16="http://schemas.microsoft.com/office/drawing/2014/main" id="{7E849F16-92F7-F80D-2F52-AA599F30638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5699760</xdr:colOff>
      <xdr:row>34</xdr:row>
      <xdr:rowOff>45720</xdr:rowOff>
    </xdr:to>
    <xdr:sp macro="" textlink="">
      <xdr:nvSpPr>
        <xdr:cNvPr id="5122" name="Text Box 2" hidden="1">
          <a:extLst>
            <a:ext uri="{FF2B5EF4-FFF2-40B4-BE49-F238E27FC236}">
              <a16:creationId xmlns:a16="http://schemas.microsoft.com/office/drawing/2014/main" id="{8A1472E3-FC74-807A-C594-80FE9486C0B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464820</xdr:colOff>
      <xdr:row>35</xdr:row>
      <xdr:rowOff>30480</xdr:rowOff>
    </xdr:to>
    <xdr:sp macro="" textlink="">
      <xdr:nvSpPr>
        <xdr:cNvPr id="6146" name="Text Box 2" hidden="1">
          <a:extLst>
            <a:ext uri="{FF2B5EF4-FFF2-40B4-BE49-F238E27FC236}">
              <a16:creationId xmlns:a16="http://schemas.microsoft.com/office/drawing/2014/main" id="{05ABE5EE-DEEF-85DC-257A-F389827F7E1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487680</xdr:colOff>
      <xdr:row>39</xdr:row>
      <xdr:rowOff>152400</xdr:rowOff>
    </xdr:to>
    <xdr:sp macro="" textlink="">
      <xdr:nvSpPr>
        <xdr:cNvPr id="7170" name="Text Box 2" hidden="1">
          <a:extLst>
            <a:ext uri="{FF2B5EF4-FFF2-40B4-BE49-F238E27FC236}">
              <a16:creationId xmlns:a16="http://schemas.microsoft.com/office/drawing/2014/main" id="{E0F27F72-3072-0B7E-5B60-F32D66B9589E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8</xdr:col>
      <xdr:colOff>396240</xdr:colOff>
      <xdr:row>39</xdr:row>
      <xdr:rowOff>152400</xdr:rowOff>
    </xdr:to>
    <xdr:sp macro="" textlink="">
      <xdr:nvSpPr>
        <xdr:cNvPr id="8194" name="Text Box 2" hidden="1">
          <a:extLst>
            <a:ext uri="{FF2B5EF4-FFF2-40B4-BE49-F238E27FC236}">
              <a16:creationId xmlns:a16="http://schemas.microsoft.com/office/drawing/2014/main" id="{EF64E136-E059-E909-4A1F-E2D15AC0EB37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5</xdr:col>
      <xdr:colOff>350520</xdr:colOff>
      <xdr:row>39</xdr:row>
      <xdr:rowOff>152400</xdr:rowOff>
    </xdr:to>
    <xdr:sp macro="" textlink="">
      <xdr:nvSpPr>
        <xdr:cNvPr id="9218" name="Text Box 2" hidden="1">
          <a:extLst>
            <a:ext uri="{FF2B5EF4-FFF2-40B4-BE49-F238E27FC236}">
              <a16:creationId xmlns:a16="http://schemas.microsoft.com/office/drawing/2014/main" id="{DE2D485C-FDDB-B439-58F8-EEA822E59C4D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23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7" sqref="B17"/>
    </sheetView>
  </sheetViews>
  <sheetFormatPr defaultColWidth="14.44140625" defaultRowHeight="14.4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33" t="s">
        <v>0</v>
      </c>
      <c r="B1" s="32"/>
      <c r="C1" s="32"/>
      <c r="D1" s="32"/>
      <c r="E1" s="32"/>
      <c r="F1" s="32"/>
    </row>
    <row r="2" spans="1:6" x14ac:dyDescent="0.3">
      <c r="A2" s="31" t="s">
        <v>1</v>
      </c>
      <c r="B2" s="32"/>
      <c r="C2" s="32"/>
      <c r="D2" s="32"/>
      <c r="E2" s="32"/>
      <c r="F2" s="32"/>
    </row>
    <row r="4" spans="1:6" x14ac:dyDescent="0.3">
      <c r="A4" s="1" t="s">
        <v>2</v>
      </c>
    </row>
    <row r="5" spans="1:6" x14ac:dyDescent="0.3">
      <c r="A5" s="2" t="s">
        <v>3</v>
      </c>
    </row>
    <row r="6" spans="1:6" x14ac:dyDescent="0.3">
      <c r="A6" s="2" t="s">
        <v>4</v>
      </c>
    </row>
    <row r="7" spans="1:6" x14ac:dyDescent="0.3">
      <c r="A7" s="2" t="s">
        <v>5</v>
      </c>
    </row>
    <row r="8" spans="1:6" x14ac:dyDescent="0.3">
      <c r="A8" s="2" t="s">
        <v>6</v>
      </c>
    </row>
    <row r="9" spans="1:6" x14ac:dyDescent="0.3">
      <c r="A9" s="2" t="s">
        <v>7</v>
      </c>
    </row>
    <row r="10" spans="1:6" x14ac:dyDescent="0.3">
      <c r="A10" t="s">
        <v>8</v>
      </c>
    </row>
    <row r="11" spans="1:6" x14ac:dyDescent="0.3">
      <c r="A11" s="34" t="s">
        <v>9</v>
      </c>
      <c r="B11" s="32"/>
      <c r="C11" s="32"/>
      <c r="D11" s="32"/>
    </row>
    <row r="12" spans="1:6" x14ac:dyDescent="0.3">
      <c r="A12" s="3" t="s">
        <v>10</v>
      </c>
      <c r="B12" s="3" t="s">
        <v>11</v>
      </c>
    </row>
    <row r="13" spans="1:6" x14ac:dyDescent="0.3">
      <c r="A13" s="4" t="s">
        <v>12</v>
      </c>
      <c r="B13" s="5" t="s">
        <v>13</v>
      </c>
    </row>
    <row r="14" spans="1:6" x14ac:dyDescent="0.3">
      <c r="A14" s="4" t="s">
        <v>14</v>
      </c>
      <c r="B14" s="5" t="s">
        <v>15</v>
      </c>
    </row>
    <row r="15" spans="1:6" x14ac:dyDescent="0.3">
      <c r="A15" s="4" t="s">
        <v>16</v>
      </c>
      <c r="B15" s="5" t="s">
        <v>17</v>
      </c>
    </row>
    <row r="16" spans="1:6" x14ac:dyDescent="0.3">
      <c r="A16" s="4" t="s">
        <v>18</v>
      </c>
      <c r="B16" s="5" t="s">
        <v>19</v>
      </c>
    </row>
    <row r="17" spans="1:2" x14ac:dyDescent="0.3">
      <c r="A17" s="4" t="s">
        <v>20</v>
      </c>
      <c r="B17" s="5" t="s">
        <v>21</v>
      </c>
    </row>
    <row r="18" spans="1:2" x14ac:dyDescent="0.3">
      <c r="A18" s="4" t="s">
        <v>22</v>
      </c>
      <c r="B18" s="5" t="s">
        <v>23</v>
      </c>
    </row>
    <row r="19" spans="1:2" x14ac:dyDescent="0.3">
      <c r="A19" s="4" t="s">
        <v>24</v>
      </c>
      <c r="B19" s="5" t="s">
        <v>25</v>
      </c>
    </row>
    <row r="20" spans="1:2" x14ac:dyDescent="0.3">
      <c r="A20" s="4" t="s">
        <v>26</v>
      </c>
      <c r="B20" s="5" t="s">
        <v>27</v>
      </c>
    </row>
    <row r="21" spans="1:2" ht="15.75" customHeight="1" x14ac:dyDescent="0.3">
      <c r="A21" s="4" t="s">
        <v>28</v>
      </c>
      <c r="B21" s="5" t="s">
        <v>29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30</v>
      </c>
    </row>
    <row r="25" spans="1:2" ht="15.75" customHeight="1" x14ac:dyDescent="0.3">
      <c r="A25" s="2" t="s">
        <v>31</v>
      </c>
    </row>
    <row r="26" spans="1:2" ht="15.75" customHeight="1" x14ac:dyDescent="0.3">
      <c r="A26" s="2" t="s">
        <v>32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3">
    <mergeCell ref="A2:F2"/>
    <mergeCell ref="A1:F1"/>
    <mergeCell ref="A11:D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workbookViewId="0">
      <selection sqref="A1:F1"/>
    </sheetView>
  </sheetViews>
  <sheetFormatPr defaultColWidth="14.44140625" defaultRowHeight="14.4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33" t="s">
        <v>33</v>
      </c>
      <c r="B1" s="32"/>
      <c r="C1" s="32"/>
      <c r="D1" s="32"/>
      <c r="E1" s="32"/>
      <c r="F1" s="32"/>
    </row>
    <row r="3" spans="1:6" x14ac:dyDescent="0.3">
      <c r="A3" s="3" t="s">
        <v>34</v>
      </c>
      <c r="B3" s="3" t="s">
        <v>35</v>
      </c>
      <c r="C3" s="3" t="s">
        <v>36</v>
      </c>
      <c r="D3" s="3" t="s">
        <v>37</v>
      </c>
      <c r="E3" s="3" t="s">
        <v>38</v>
      </c>
      <c r="F3" s="3" t="s">
        <v>39</v>
      </c>
    </row>
    <row r="4" spans="1:6" x14ac:dyDescent="0.3">
      <c r="A4" s="6" t="s">
        <v>40</v>
      </c>
      <c r="B4" s="7" t="s">
        <v>41</v>
      </c>
      <c r="C4" s="6" t="s">
        <v>16</v>
      </c>
      <c r="D4" s="5" t="s">
        <v>42</v>
      </c>
      <c r="E4" s="5" t="s">
        <v>43</v>
      </c>
      <c r="F4" s="5" t="s">
        <v>44</v>
      </c>
    </row>
    <row r="5" spans="1:6" x14ac:dyDescent="0.3">
      <c r="A5" s="6" t="s">
        <v>40</v>
      </c>
      <c r="B5" s="7" t="s">
        <v>45</v>
      </c>
      <c r="C5" s="6" t="s">
        <v>16</v>
      </c>
      <c r="D5" s="5" t="s">
        <v>46</v>
      </c>
      <c r="E5" s="5" t="s">
        <v>47</v>
      </c>
      <c r="F5" s="5" t="s">
        <v>48</v>
      </c>
    </row>
    <row r="6" spans="1:6" x14ac:dyDescent="0.3">
      <c r="A6" s="6" t="s">
        <v>49</v>
      </c>
      <c r="B6" s="7" t="s">
        <v>41</v>
      </c>
      <c r="C6" s="6" t="s">
        <v>18</v>
      </c>
      <c r="D6" s="5" t="s">
        <v>42</v>
      </c>
      <c r="E6" s="5" t="s">
        <v>43</v>
      </c>
      <c r="F6" s="5" t="s">
        <v>50</v>
      </c>
    </row>
    <row r="7" spans="1:6" ht="28.8" x14ac:dyDescent="0.3">
      <c r="A7" s="6" t="s">
        <v>49</v>
      </c>
      <c r="B7" s="7" t="s">
        <v>51</v>
      </c>
      <c r="C7" s="6" t="s">
        <v>18</v>
      </c>
      <c r="D7" s="5" t="s">
        <v>52</v>
      </c>
      <c r="E7" s="5" t="s">
        <v>53</v>
      </c>
      <c r="F7" s="5" t="s">
        <v>54</v>
      </c>
    </row>
    <row r="8" spans="1:6" x14ac:dyDescent="0.3">
      <c r="A8" s="6" t="s">
        <v>55</v>
      </c>
      <c r="B8" s="7" t="s">
        <v>56</v>
      </c>
      <c r="C8" s="6" t="s">
        <v>20</v>
      </c>
      <c r="D8" s="5" t="s">
        <v>57</v>
      </c>
      <c r="E8" s="5" t="s">
        <v>58</v>
      </c>
      <c r="F8" s="5" t="s">
        <v>59</v>
      </c>
    </row>
    <row r="9" spans="1:6" x14ac:dyDescent="0.3">
      <c r="A9" s="6" t="s">
        <v>55</v>
      </c>
      <c r="B9" s="7" t="s">
        <v>60</v>
      </c>
      <c r="C9" s="6" t="s">
        <v>20</v>
      </c>
      <c r="D9" s="5" t="s">
        <v>61</v>
      </c>
      <c r="E9" s="5" t="s">
        <v>58</v>
      </c>
      <c r="F9" s="5" t="s">
        <v>62</v>
      </c>
    </row>
    <row r="10" spans="1:6" x14ac:dyDescent="0.3">
      <c r="A10" s="6" t="s">
        <v>55</v>
      </c>
      <c r="B10" s="7" t="s">
        <v>63</v>
      </c>
      <c r="C10" s="6" t="s">
        <v>20</v>
      </c>
      <c r="D10" s="5" t="s">
        <v>64</v>
      </c>
      <c r="E10" s="5" t="s">
        <v>58</v>
      </c>
      <c r="F10" s="5" t="s">
        <v>65</v>
      </c>
    </row>
    <row r="11" spans="1:6" x14ac:dyDescent="0.3">
      <c r="A11" s="6" t="s">
        <v>55</v>
      </c>
      <c r="B11" s="7" t="s">
        <v>66</v>
      </c>
      <c r="C11" s="6" t="s">
        <v>20</v>
      </c>
      <c r="D11" s="5" t="s">
        <v>67</v>
      </c>
      <c r="E11" s="5" t="s">
        <v>58</v>
      </c>
      <c r="F11" s="5" t="s">
        <v>68</v>
      </c>
    </row>
    <row r="12" spans="1:6" x14ac:dyDescent="0.3">
      <c r="A12" s="6" t="s">
        <v>55</v>
      </c>
      <c r="B12" s="7" t="s">
        <v>69</v>
      </c>
      <c r="C12" s="6" t="s">
        <v>20</v>
      </c>
      <c r="D12" s="5" t="s">
        <v>70</v>
      </c>
      <c r="E12" s="5" t="s">
        <v>43</v>
      </c>
      <c r="F12" s="5" t="s">
        <v>71</v>
      </c>
    </row>
    <row r="13" spans="1:6" ht="28.8" x14ac:dyDescent="0.3">
      <c r="A13" s="6" t="s">
        <v>72</v>
      </c>
      <c r="B13" s="7" t="s">
        <v>73</v>
      </c>
      <c r="C13" s="6" t="s">
        <v>22</v>
      </c>
      <c r="D13" s="5" t="s">
        <v>74</v>
      </c>
      <c r="E13" s="5" t="s">
        <v>75</v>
      </c>
      <c r="F13" s="5" t="s">
        <v>76</v>
      </c>
    </row>
    <row r="14" spans="1:6" x14ac:dyDescent="0.3">
      <c r="A14" s="6" t="s">
        <v>72</v>
      </c>
      <c r="B14" s="7" t="s">
        <v>77</v>
      </c>
      <c r="C14" s="6" t="s">
        <v>22</v>
      </c>
      <c r="D14" s="5" t="s">
        <v>78</v>
      </c>
      <c r="E14" s="5" t="s">
        <v>47</v>
      </c>
      <c r="F14" s="5" t="s">
        <v>79</v>
      </c>
    </row>
    <row r="15" spans="1:6" x14ac:dyDescent="0.3">
      <c r="A15" s="6" t="s">
        <v>72</v>
      </c>
      <c r="B15" s="7" t="s">
        <v>80</v>
      </c>
      <c r="C15" s="6" t="s">
        <v>22</v>
      </c>
      <c r="D15" s="5" t="s">
        <v>81</v>
      </c>
      <c r="E15" s="5" t="s">
        <v>82</v>
      </c>
      <c r="F15" s="5" t="s">
        <v>83</v>
      </c>
    </row>
    <row r="16" spans="1:6" x14ac:dyDescent="0.3">
      <c r="A16" s="6" t="s">
        <v>72</v>
      </c>
      <c r="B16" s="7" t="s">
        <v>84</v>
      </c>
      <c r="C16" s="6" t="s">
        <v>22</v>
      </c>
      <c r="D16" s="5" t="s">
        <v>85</v>
      </c>
      <c r="E16" s="5" t="s">
        <v>86</v>
      </c>
      <c r="F16" s="5" t="s">
        <v>87</v>
      </c>
    </row>
    <row r="17" spans="1:6" ht="28.8" x14ac:dyDescent="0.3">
      <c r="A17" s="6" t="s">
        <v>88</v>
      </c>
      <c r="B17" s="7" t="s">
        <v>41</v>
      </c>
      <c r="C17" s="6" t="s">
        <v>24</v>
      </c>
      <c r="D17" s="5" t="s">
        <v>89</v>
      </c>
      <c r="E17" s="5" t="s">
        <v>90</v>
      </c>
      <c r="F17" s="5" t="s">
        <v>91</v>
      </c>
    </row>
    <row r="18" spans="1:6" x14ac:dyDescent="0.3">
      <c r="A18" s="6" t="s">
        <v>88</v>
      </c>
      <c r="B18" s="7" t="s">
        <v>92</v>
      </c>
      <c r="C18" s="6" t="s">
        <v>24</v>
      </c>
      <c r="D18" s="5" t="s">
        <v>93</v>
      </c>
      <c r="E18" s="5" t="s">
        <v>94</v>
      </c>
      <c r="F18" s="5" t="s">
        <v>95</v>
      </c>
    </row>
    <row r="19" spans="1:6" x14ac:dyDescent="0.3">
      <c r="A19" s="6" t="s">
        <v>88</v>
      </c>
      <c r="B19" s="7" t="s">
        <v>96</v>
      </c>
      <c r="C19" s="6" t="s">
        <v>24</v>
      </c>
      <c r="D19" s="5" t="s">
        <v>97</v>
      </c>
      <c r="E19" s="5" t="s">
        <v>43</v>
      </c>
      <c r="F19" s="5" t="s">
        <v>98</v>
      </c>
    </row>
    <row r="20" spans="1:6" ht="28.8" x14ac:dyDescent="0.3">
      <c r="A20" s="6" t="s">
        <v>88</v>
      </c>
      <c r="B20" s="7" t="s">
        <v>99</v>
      </c>
      <c r="C20" s="6" t="s">
        <v>24</v>
      </c>
      <c r="D20" s="5" t="s">
        <v>100</v>
      </c>
      <c r="E20" s="5" t="s">
        <v>43</v>
      </c>
      <c r="F20" s="5" t="s">
        <v>101</v>
      </c>
    </row>
    <row r="21" spans="1:6" ht="15.75" customHeight="1" x14ac:dyDescent="0.3">
      <c r="A21" s="6" t="s">
        <v>88</v>
      </c>
      <c r="B21" s="7" t="s">
        <v>102</v>
      </c>
      <c r="C21" s="6" t="s">
        <v>103</v>
      </c>
      <c r="D21" s="5" t="s">
        <v>104</v>
      </c>
      <c r="E21" s="5" t="s">
        <v>105</v>
      </c>
      <c r="F21" s="5" t="s">
        <v>106</v>
      </c>
    </row>
    <row r="22" spans="1:6" ht="15.75" customHeight="1" x14ac:dyDescent="0.3">
      <c r="A22" s="6" t="s">
        <v>88</v>
      </c>
      <c r="B22" s="7" t="s">
        <v>107</v>
      </c>
      <c r="C22" s="6" t="s">
        <v>26</v>
      </c>
      <c r="D22" s="5" t="s">
        <v>108</v>
      </c>
      <c r="E22" s="5" t="s">
        <v>109</v>
      </c>
      <c r="F22" s="5" t="s">
        <v>110</v>
      </c>
    </row>
    <row r="23" spans="1:6" ht="15.75" customHeight="1" x14ac:dyDescent="0.3">
      <c r="A23" s="8" t="s">
        <v>88</v>
      </c>
      <c r="B23" s="9" t="s">
        <v>111</v>
      </c>
      <c r="C23" s="8" t="s">
        <v>28</v>
      </c>
      <c r="D23" s="10" t="s">
        <v>112</v>
      </c>
      <c r="E23" s="10" t="s">
        <v>109</v>
      </c>
      <c r="F23" s="10" t="s">
        <v>110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1">
    <mergeCell ref="A1:F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/>
  </sheetViews>
  <sheetFormatPr defaultColWidth="14.44140625" defaultRowHeight="14.4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3" t="s">
        <v>40</v>
      </c>
      <c r="B1" s="32"/>
      <c r="C1" s="32"/>
      <c r="D1" s="32"/>
      <c r="E1" s="32"/>
      <c r="F1" s="32"/>
    </row>
    <row r="2" spans="1:6" x14ac:dyDescent="0.3">
      <c r="A2" s="31" t="s">
        <v>113</v>
      </c>
      <c r="B2" s="32"/>
      <c r="C2" s="32"/>
      <c r="D2" s="32"/>
      <c r="E2" s="32"/>
      <c r="F2" s="32"/>
    </row>
    <row r="3" spans="1:6" x14ac:dyDescent="0.3">
      <c r="A3" s="34" t="s">
        <v>41</v>
      </c>
      <c r="B3" s="32"/>
      <c r="C3" s="32"/>
      <c r="D3" s="32"/>
    </row>
    <row r="4" spans="1:6" x14ac:dyDescent="0.3">
      <c r="A4" s="3" t="s">
        <v>114</v>
      </c>
      <c r="B4" s="3" t="s">
        <v>115</v>
      </c>
      <c r="C4" s="3" t="s">
        <v>116</v>
      </c>
      <c r="D4" s="3" t="s">
        <v>117</v>
      </c>
    </row>
    <row r="5" spans="1:6" x14ac:dyDescent="0.3">
      <c r="A5" s="4" t="s">
        <v>118</v>
      </c>
      <c r="B5" s="11">
        <f>F11</f>
        <v>3047376.25</v>
      </c>
      <c r="C5" s="12" t="s">
        <v>119</v>
      </c>
      <c r="D5" s="12" t="s">
        <v>120</v>
      </c>
    </row>
    <row r="6" spans="1:6" x14ac:dyDescent="0.3">
      <c r="A6" s="4" t="s">
        <v>121</v>
      </c>
      <c r="B6" s="11">
        <f>F13</f>
        <v>1218950.5</v>
      </c>
      <c r="C6" s="12" t="s">
        <v>119</v>
      </c>
      <c r="D6" s="12" t="s">
        <v>122</v>
      </c>
    </row>
    <row r="7" spans="1:6" x14ac:dyDescent="0.3">
      <c r="A7" s="4" t="s">
        <v>123</v>
      </c>
      <c r="B7" s="11">
        <f>F16</f>
        <v>-1951189.5</v>
      </c>
      <c r="C7" s="12" t="s">
        <v>119</v>
      </c>
      <c r="D7" s="12" t="s">
        <v>124</v>
      </c>
    </row>
    <row r="8" spans="1:6" x14ac:dyDescent="0.3">
      <c r="A8" s="4" t="s">
        <v>125</v>
      </c>
      <c r="B8" s="11">
        <f>F15</f>
        <v>-3170140</v>
      </c>
      <c r="C8" s="12" t="s">
        <v>119</v>
      </c>
      <c r="D8" s="12" t="s">
        <v>126</v>
      </c>
    </row>
    <row r="9" spans="1:6" x14ac:dyDescent="0.3">
      <c r="A9" s="34" t="s">
        <v>127</v>
      </c>
      <c r="B9" s="32"/>
      <c r="C9" s="32"/>
      <c r="D9" s="32"/>
      <c r="E9" s="32"/>
      <c r="F9" s="32"/>
    </row>
    <row r="10" spans="1:6" x14ac:dyDescent="0.3">
      <c r="A10" s="3" t="s">
        <v>128</v>
      </c>
      <c r="B10" s="3" t="s">
        <v>129</v>
      </c>
      <c r="C10" s="3" t="s">
        <v>130</v>
      </c>
      <c r="D10" s="3" t="s">
        <v>131</v>
      </c>
      <c r="E10" s="3" t="s">
        <v>132</v>
      </c>
      <c r="F10" s="3" t="s">
        <v>133</v>
      </c>
    </row>
    <row r="11" spans="1:6" x14ac:dyDescent="0.3">
      <c r="A11" s="4" t="s">
        <v>134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x14ac:dyDescent="0.3">
      <c r="A12" s="4" t="s">
        <v>135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x14ac:dyDescent="0.3">
      <c r="A13" s="4" t="s">
        <v>136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x14ac:dyDescent="0.3">
      <c r="A14" s="4" t="s">
        <v>137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x14ac:dyDescent="0.3">
      <c r="A15" s="4" t="s">
        <v>138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x14ac:dyDescent="0.3">
      <c r="A16" s="4" t="s">
        <v>139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customFormat="1" ht="15.75" customHeight="1" x14ac:dyDescent="0.3"/>
    <row r="22" customFormat="1" ht="15.75" customHeight="1" x14ac:dyDescent="0.3"/>
    <row r="23" customFormat="1" ht="15.75" customHeight="1" x14ac:dyDescent="0.3"/>
    <row r="24" customFormat="1" ht="15.75" customHeight="1" x14ac:dyDescent="0.3"/>
    <row r="25" customFormat="1" ht="15.75" customHeight="1" x14ac:dyDescent="0.3"/>
    <row r="26" customFormat="1" ht="15.75" customHeight="1" x14ac:dyDescent="0.3"/>
    <row r="27" customFormat="1" ht="15.75" customHeight="1" x14ac:dyDescent="0.3"/>
    <row r="28" customFormat="1" ht="15.75" customHeight="1" x14ac:dyDescent="0.3"/>
    <row r="29" customFormat="1" ht="15.75" customHeight="1" x14ac:dyDescent="0.3"/>
    <row r="30" customFormat="1" ht="15.75" customHeight="1" x14ac:dyDescent="0.3"/>
    <row r="31" customFormat="1" ht="15.75" customHeight="1" x14ac:dyDescent="0.3"/>
    <row r="32" customFormat="1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4">
    <mergeCell ref="A2:F2"/>
    <mergeCell ref="A1:F1"/>
    <mergeCell ref="A3:D3"/>
    <mergeCell ref="A9:F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selection sqref="A1:F1"/>
    </sheetView>
  </sheetViews>
  <sheetFormatPr defaultColWidth="14.44140625" defaultRowHeight="14.4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3" t="s">
        <v>49</v>
      </c>
      <c r="B1" s="32"/>
      <c r="C1" s="32"/>
      <c r="D1" s="32"/>
      <c r="E1" s="32"/>
      <c r="F1" s="32"/>
    </row>
    <row r="2" spans="1:6" x14ac:dyDescent="0.3">
      <c r="A2" s="31" t="s">
        <v>140</v>
      </c>
      <c r="B2" s="32"/>
      <c r="C2" s="32"/>
      <c r="D2" s="32"/>
      <c r="E2" s="32"/>
      <c r="F2" s="32"/>
    </row>
    <row r="3" spans="1:6" x14ac:dyDescent="0.3">
      <c r="A3" s="34" t="s">
        <v>41</v>
      </c>
      <c r="B3" s="32"/>
      <c r="C3" s="32"/>
      <c r="D3" s="32"/>
    </row>
    <row r="4" spans="1:6" x14ac:dyDescent="0.3">
      <c r="A4" s="3" t="s">
        <v>114</v>
      </c>
      <c r="B4" s="3" t="s">
        <v>115</v>
      </c>
      <c r="C4" s="3" t="s">
        <v>116</v>
      </c>
      <c r="D4" s="3" t="s">
        <v>117</v>
      </c>
    </row>
    <row r="5" spans="1:6" x14ac:dyDescent="0.3">
      <c r="A5" s="4" t="s">
        <v>141</v>
      </c>
      <c r="B5" s="11">
        <f>B11</f>
        <v>581455</v>
      </c>
      <c r="C5" s="12" t="s">
        <v>119</v>
      </c>
      <c r="D5" s="12" t="s">
        <v>142</v>
      </c>
    </row>
    <row r="6" spans="1:6" x14ac:dyDescent="0.3">
      <c r="A6" s="4" t="s">
        <v>143</v>
      </c>
      <c r="B6" s="11">
        <f>F14</f>
        <v>2213343.75</v>
      </c>
      <c r="C6" s="12" t="s">
        <v>119</v>
      </c>
      <c r="D6" s="12" t="s">
        <v>144</v>
      </c>
    </row>
    <row r="7" spans="1:6" x14ac:dyDescent="0.3">
      <c r="A7" s="4" t="s">
        <v>145</v>
      </c>
      <c r="B7" s="11">
        <f>F15+F16</f>
        <v>-4891206.4399999995</v>
      </c>
      <c r="C7" s="12" t="s">
        <v>119</v>
      </c>
      <c r="D7" s="12" t="s">
        <v>146</v>
      </c>
    </row>
    <row r="8" spans="1:6" x14ac:dyDescent="0.3">
      <c r="A8" s="4" t="s">
        <v>147</v>
      </c>
      <c r="B8" s="11">
        <f>F18</f>
        <v>-2096407.69</v>
      </c>
      <c r="C8" s="12" t="s">
        <v>119</v>
      </c>
      <c r="D8" s="12" t="s">
        <v>148</v>
      </c>
    </row>
    <row r="9" spans="1:6" x14ac:dyDescent="0.3">
      <c r="A9" s="34" t="s">
        <v>149</v>
      </c>
      <c r="B9" s="32"/>
      <c r="C9" s="32"/>
      <c r="D9" s="32"/>
      <c r="E9" s="32"/>
      <c r="F9" s="32"/>
    </row>
    <row r="10" spans="1:6" x14ac:dyDescent="0.3">
      <c r="A10" s="3" t="s">
        <v>128</v>
      </c>
      <c r="B10" s="3" t="s">
        <v>129</v>
      </c>
      <c r="C10" s="3" t="s">
        <v>130</v>
      </c>
      <c r="D10" s="3" t="s">
        <v>131</v>
      </c>
      <c r="E10" s="3" t="s">
        <v>132</v>
      </c>
      <c r="F10" s="3" t="s">
        <v>133</v>
      </c>
    </row>
    <row r="11" spans="1:6" x14ac:dyDescent="0.3">
      <c r="A11" s="4" t="s">
        <v>141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x14ac:dyDescent="0.3">
      <c r="A12" s="4" t="s">
        <v>150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x14ac:dyDescent="0.3">
      <c r="A13" s="4" t="s">
        <v>151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x14ac:dyDescent="0.3">
      <c r="A14" s="4" t="s">
        <v>143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x14ac:dyDescent="0.3">
      <c r="A15" s="4" t="s">
        <v>135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x14ac:dyDescent="0.3">
      <c r="A16" s="4" t="s">
        <v>152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x14ac:dyDescent="0.3">
      <c r="A17" s="4" t="s">
        <v>153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x14ac:dyDescent="0.3">
      <c r="A18" s="4" t="s">
        <v>147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x14ac:dyDescent="0.3">
      <c r="A19" s="4" t="s">
        <v>154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4">
    <mergeCell ref="A2:F2"/>
    <mergeCell ref="A1:F1"/>
    <mergeCell ref="A3:D3"/>
    <mergeCell ref="A9:F9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>
      <selection sqref="A1:G1"/>
    </sheetView>
  </sheetViews>
  <sheetFormatPr defaultColWidth="14.44140625" defaultRowHeight="14.4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33" t="s">
        <v>55</v>
      </c>
      <c r="B1" s="32"/>
      <c r="C1" s="32"/>
      <c r="D1" s="32"/>
      <c r="E1" s="32"/>
      <c r="F1" s="32"/>
      <c r="G1" s="32"/>
    </row>
    <row r="2" spans="1:7" x14ac:dyDescent="0.3">
      <c r="A2" s="31" t="s">
        <v>155</v>
      </c>
      <c r="B2" s="32"/>
      <c r="C2" s="32"/>
      <c r="D2" s="32"/>
      <c r="E2" s="32"/>
      <c r="F2" s="32"/>
      <c r="G2" s="32"/>
    </row>
    <row r="3" spans="1:7" x14ac:dyDescent="0.3">
      <c r="A3" s="34" t="s">
        <v>156</v>
      </c>
      <c r="B3" s="32"/>
    </row>
    <row r="4" spans="1:7" x14ac:dyDescent="0.3">
      <c r="A4" s="3" t="s">
        <v>157</v>
      </c>
      <c r="B4" s="3" t="s">
        <v>158</v>
      </c>
    </row>
    <row r="5" spans="1:7" ht="43.2" x14ac:dyDescent="0.3">
      <c r="A5" s="4" t="s">
        <v>159</v>
      </c>
      <c r="B5" s="5" t="s">
        <v>160</v>
      </c>
    </row>
    <row r="7" spans="1:7" x14ac:dyDescent="0.3">
      <c r="A7" s="34" t="s">
        <v>60</v>
      </c>
      <c r="B7" s="32"/>
    </row>
    <row r="8" spans="1:7" x14ac:dyDescent="0.3">
      <c r="A8" s="3" t="s">
        <v>161</v>
      </c>
      <c r="B8" s="3" t="s">
        <v>128</v>
      </c>
      <c r="E8" s="18" t="s">
        <v>162</v>
      </c>
      <c r="F8" s="18" t="s">
        <v>163</v>
      </c>
      <c r="G8" s="18" t="s">
        <v>164</v>
      </c>
    </row>
    <row r="9" spans="1:7" ht="28.8" x14ac:dyDescent="0.3">
      <c r="A9" s="4" t="s">
        <v>165</v>
      </c>
      <c r="B9" s="5" t="s">
        <v>166</v>
      </c>
      <c r="E9" s="1" t="s">
        <v>167</v>
      </c>
      <c r="F9" s="19">
        <f>SUM(Pipeline_Revenue!B11:B22)</f>
        <v>1828426</v>
      </c>
      <c r="G9" s="20">
        <f>IFERROR(F9/SUM(F9:F10),0)</f>
        <v>0.59999973747923629</v>
      </c>
    </row>
    <row r="10" spans="1:7" x14ac:dyDescent="0.3">
      <c r="A10" s="4" t="s">
        <v>168</v>
      </c>
      <c r="B10" s="5" t="s">
        <v>169</v>
      </c>
      <c r="E10" s="1" t="s">
        <v>170</v>
      </c>
      <c r="F10" s="19">
        <f>SUM(Pipeline_Revenue!C11:C22)</f>
        <v>1218952</v>
      </c>
      <c r="G10" s="20">
        <f>IFERROR(F10/SUM(F9:F10),0)</f>
        <v>0.40000026252076376</v>
      </c>
    </row>
    <row r="11" spans="1:7" x14ac:dyDescent="0.3">
      <c r="A11" s="1" t="s">
        <v>171</v>
      </c>
      <c r="B11" s="10" t="s">
        <v>172</v>
      </c>
    </row>
    <row r="12" spans="1:7" x14ac:dyDescent="0.3">
      <c r="A12" s="34" t="s">
        <v>63</v>
      </c>
      <c r="B12" s="32"/>
      <c r="C12" s="32"/>
    </row>
    <row r="13" spans="1:7" x14ac:dyDescent="0.3">
      <c r="A13" s="3" t="s">
        <v>173</v>
      </c>
      <c r="B13" s="3" t="s">
        <v>174</v>
      </c>
      <c r="C13" s="3" t="s">
        <v>175</v>
      </c>
    </row>
    <row r="14" spans="1:7" ht="43.2" x14ac:dyDescent="0.3">
      <c r="A14" s="7" t="s">
        <v>176</v>
      </c>
      <c r="B14" s="5" t="s">
        <v>177</v>
      </c>
      <c r="C14" s="5" t="s">
        <v>178</v>
      </c>
    </row>
    <row r="15" spans="1:7" ht="28.8" x14ac:dyDescent="0.3">
      <c r="A15" s="7" t="s">
        <v>179</v>
      </c>
      <c r="B15" s="5" t="s">
        <v>180</v>
      </c>
      <c r="C15" s="5" t="s">
        <v>181</v>
      </c>
    </row>
    <row r="17" spans="1:2" x14ac:dyDescent="0.3">
      <c r="A17" s="34" t="s">
        <v>182</v>
      </c>
      <c r="B17" s="32"/>
    </row>
    <row r="18" spans="1:2" x14ac:dyDescent="0.3">
      <c r="A18" s="3" t="s">
        <v>183</v>
      </c>
      <c r="B18" s="3" t="s">
        <v>184</v>
      </c>
    </row>
    <row r="19" spans="1:2" x14ac:dyDescent="0.3">
      <c r="A19" s="4" t="s">
        <v>185</v>
      </c>
      <c r="B19" s="5" t="s">
        <v>186</v>
      </c>
    </row>
    <row r="20" spans="1:2" x14ac:dyDescent="0.3">
      <c r="A20" s="4" t="s">
        <v>187</v>
      </c>
      <c r="B20" s="5" t="s">
        <v>188</v>
      </c>
    </row>
    <row r="21" spans="1:2" ht="15.75" customHeight="1" x14ac:dyDescent="0.3">
      <c r="A21" s="4" t="s">
        <v>189</v>
      </c>
      <c r="B21" s="5" t="s">
        <v>190</v>
      </c>
    </row>
    <row r="22" spans="1:2" ht="15.75" customHeight="1" x14ac:dyDescent="0.3">
      <c r="A22" s="4" t="s">
        <v>191</v>
      </c>
      <c r="B22" s="5" t="s">
        <v>192</v>
      </c>
    </row>
    <row r="23" spans="1:2" ht="15.75" customHeight="1" x14ac:dyDescent="0.3">
      <c r="A23" s="4" t="s">
        <v>193</v>
      </c>
      <c r="B23" s="5" t="s">
        <v>194</v>
      </c>
    </row>
    <row r="24" spans="1:2" ht="15.75" customHeight="1" x14ac:dyDescent="0.3"/>
    <row r="25" spans="1:2" ht="15.75" customHeight="1" x14ac:dyDescent="0.3">
      <c r="A25" s="34" t="s">
        <v>195</v>
      </c>
      <c r="B25" s="32"/>
    </row>
    <row r="26" spans="1:2" ht="15.75" customHeight="1" x14ac:dyDescent="0.3">
      <c r="A26" s="3" t="s">
        <v>196</v>
      </c>
      <c r="B26" s="3" t="s">
        <v>184</v>
      </c>
    </row>
    <row r="27" spans="1:2" ht="15.75" customHeight="1" x14ac:dyDescent="0.3">
      <c r="A27" s="4" t="s">
        <v>197</v>
      </c>
      <c r="B27" s="5" t="s">
        <v>198</v>
      </c>
    </row>
    <row r="28" spans="1:2" ht="15.75" customHeight="1" x14ac:dyDescent="0.3">
      <c r="A28" s="4" t="s">
        <v>199</v>
      </c>
      <c r="B28" s="5" t="s">
        <v>200</v>
      </c>
    </row>
    <row r="29" spans="1:2" ht="15.75" customHeight="1" x14ac:dyDescent="0.3">
      <c r="A29" s="4" t="s">
        <v>201</v>
      </c>
      <c r="B29" s="5" t="s">
        <v>202</v>
      </c>
    </row>
    <row r="30" spans="1:2" ht="15.75" customHeight="1" x14ac:dyDescent="0.3">
      <c r="A30" s="4" t="s">
        <v>203</v>
      </c>
      <c r="B30" s="5" t="s">
        <v>204</v>
      </c>
    </row>
    <row r="31" spans="1:2" ht="15.75" customHeight="1" x14ac:dyDescent="0.3"/>
    <row r="32" spans="1:2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sqref="A1:H1"/>
    </sheetView>
  </sheetViews>
  <sheetFormatPr defaultColWidth="14.44140625" defaultRowHeight="14.4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33" t="s">
        <v>72</v>
      </c>
      <c r="B1" s="32"/>
      <c r="C1" s="32"/>
      <c r="D1" s="32"/>
      <c r="E1" s="32"/>
      <c r="F1" s="32"/>
      <c r="G1" s="32"/>
      <c r="H1" s="32"/>
    </row>
    <row r="2" spans="1:9" x14ac:dyDescent="0.3">
      <c r="A2" s="31" t="s">
        <v>205</v>
      </c>
      <c r="B2" s="32"/>
      <c r="C2" s="32"/>
      <c r="D2" s="32"/>
      <c r="E2" s="32"/>
      <c r="F2" s="32"/>
      <c r="G2" s="32"/>
      <c r="H2" s="32"/>
    </row>
    <row r="3" spans="1:9" x14ac:dyDescent="0.3">
      <c r="A3" s="34" t="s">
        <v>73</v>
      </c>
      <c r="B3" s="32"/>
      <c r="C3" s="32"/>
    </row>
    <row r="4" spans="1:9" x14ac:dyDescent="0.3">
      <c r="A4" s="3" t="s">
        <v>206</v>
      </c>
      <c r="B4" s="3" t="s">
        <v>115</v>
      </c>
      <c r="C4" s="3" t="s">
        <v>207</v>
      </c>
    </row>
    <row r="5" spans="1:9" ht="43.2" x14ac:dyDescent="0.3">
      <c r="A5" s="4" t="s">
        <v>208</v>
      </c>
      <c r="B5" s="14">
        <f>SUM(D11:D22)</f>
        <v>3047378</v>
      </c>
      <c r="C5" s="5" t="s">
        <v>209</v>
      </c>
    </row>
    <row r="6" spans="1:9" ht="43.2" x14ac:dyDescent="0.3">
      <c r="A6" s="4" t="s">
        <v>210</v>
      </c>
      <c r="B6" s="13">
        <v>2100000</v>
      </c>
      <c r="C6" s="5" t="s">
        <v>211</v>
      </c>
    </row>
    <row r="7" spans="1:9" ht="28.8" x14ac:dyDescent="0.3">
      <c r="A7" s="1" t="s">
        <v>80</v>
      </c>
      <c r="B7" s="21">
        <f>COUNTA(G11:G19)</f>
        <v>9</v>
      </c>
      <c r="C7" s="10" t="s">
        <v>212</v>
      </c>
    </row>
    <row r="9" spans="1:9" x14ac:dyDescent="0.3">
      <c r="A9" s="34" t="s">
        <v>213</v>
      </c>
      <c r="B9" s="32"/>
      <c r="C9" s="32"/>
      <c r="D9" s="32"/>
      <c r="E9" s="32"/>
    </row>
    <row r="10" spans="1:9" x14ac:dyDescent="0.3">
      <c r="A10" s="3" t="s">
        <v>214</v>
      </c>
      <c r="B10" s="3" t="s">
        <v>215</v>
      </c>
      <c r="C10" s="3" t="s">
        <v>216</v>
      </c>
      <c r="D10" s="3" t="s">
        <v>217</v>
      </c>
      <c r="E10" s="3" t="s">
        <v>218</v>
      </c>
      <c r="G10" s="18" t="s">
        <v>219</v>
      </c>
      <c r="H10" s="18" t="s">
        <v>220</v>
      </c>
      <c r="I10" s="18" t="s">
        <v>39</v>
      </c>
    </row>
    <row r="11" spans="1:9" x14ac:dyDescent="0.3">
      <c r="A11" s="4" t="s">
        <v>221</v>
      </c>
      <c r="B11" s="13">
        <v>0</v>
      </c>
      <c r="C11" s="13">
        <v>0</v>
      </c>
      <c r="D11" s="14">
        <f t="shared" ref="D11:D22" si="0">B11+C11</f>
        <v>0</v>
      </c>
      <c r="E11" s="12" t="s">
        <v>129</v>
      </c>
      <c r="G11" s="1" t="s">
        <v>222</v>
      </c>
      <c r="H11" s="22">
        <v>500000</v>
      </c>
      <c r="I11" s="2" t="s">
        <v>223</v>
      </c>
    </row>
    <row r="12" spans="1:9" x14ac:dyDescent="0.3">
      <c r="A12" s="4" t="s">
        <v>224</v>
      </c>
      <c r="B12" s="13">
        <v>0</v>
      </c>
      <c r="C12" s="13">
        <v>0</v>
      </c>
      <c r="D12" s="14">
        <f t="shared" si="0"/>
        <v>0</v>
      </c>
      <c r="E12" s="12" t="s">
        <v>129</v>
      </c>
      <c r="G12" s="1" t="s">
        <v>225</v>
      </c>
      <c r="H12" s="22">
        <v>500000</v>
      </c>
      <c r="I12" s="2" t="s">
        <v>223</v>
      </c>
    </row>
    <row r="13" spans="1:9" x14ac:dyDescent="0.3">
      <c r="A13" s="4" t="s">
        <v>226</v>
      </c>
      <c r="B13" s="13">
        <v>0</v>
      </c>
      <c r="C13" s="13">
        <v>30000</v>
      </c>
      <c r="D13" s="14">
        <f t="shared" si="0"/>
        <v>30000</v>
      </c>
      <c r="E13" s="12" t="s">
        <v>129</v>
      </c>
      <c r="G13" s="1" t="s">
        <v>227</v>
      </c>
      <c r="H13" s="22">
        <v>350000</v>
      </c>
      <c r="I13" s="2" t="s">
        <v>223</v>
      </c>
    </row>
    <row r="14" spans="1:9" x14ac:dyDescent="0.3">
      <c r="A14" s="4" t="s">
        <v>228</v>
      </c>
      <c r="B14" s="13">
        <v>0</v>
      </c>
      <c r="C14" s="13">
        <v>90000</v>
      </c>
      <c r="D14" s="14">
        <f t="shared" si="0"/>
        <v>90000</v>
      </c>
      <c r="E14" s="12" t="s">
        <v>130</v>
      </c>
      <c r="G14" s="1" t="s">
        <v>229</v>
      </c>
      <c r="H14" s="22">
        <v>330000</v>
      </c>
      <c r="I14" s="2" t="s">
        <v>223</v>
      </c>
    </row>
    <row r="15" spans="1:9" x14ac:dyDescent="0.3">
      <c r="A15" s="4" t="s">
        <v>230</v>
      </c>
      <c r="B15" s="13">
        <v>100000</v>
      </c>
      <c r="C15" s="13">
        <v>40000</v>
      </c>
      <c r="D15" s="14">
        <f t="shared" si="0"/>
        <v>140000</v>
      </c>
      <c r="E15" s="12" t="s">
        <v>130</v>
      </c>
      <c r="G15" s="1" t="s">
        <v>231</v>
      </c>
      <c r="H15" s="22">
        <v>220000</v>
      </c>
      <c r="I15" s="2" t="s">
        <v>223</v>
      </c>
    </row>
    <row r="16" spans="1:9" x14ac:dyDescent="0.3">
      <c r="A16" s="4" t="s">
        <v>232</v>
      </c>
      <c r="B16" s="13">
        <v>185000</v>
      </c>
      <c r="C16" s="13">
        <v>115000</v>
      </c>
      <c r="D16" s="14">
        <f t="shared" si="0"/>
        <v>300000</v>
      </c>
      <c r="E16" s="12" t="s">
        <v>130</v>
      </c>
      <c r="G16" s="1" t="s">
        <v>233</v>
      </c>
      <c r="H16" s="22">
        <v>70000</v>
      </c>
      <c r="I16" s="2" t="s">
        <v>223</v>
      </c>
    </row>
    <row r="17" spans="1:9" x14ac:dyDescent="0.3">
      <c r="A17" s="4" t="s">
        <v>234</v>
      </c>
      <c r="B17" s="13">
        <v>136125</v>
      </c>
      <c r="C17" s="13">
        <v>111375</v>
      </c>
      <c r="D17" s="14">
        <f t="shared" si="0"/>
        <v>247500</v>
      </c>
      <c r="E17" s="12" t="s">
        <v>131</v>
      </c>
      <c r="G17" s="1" t="s">
        <v>235</v>
      </c>
      <c r="H17" s="22">
        <v>50000</v>
      </c>
      <c r="I17" s="2" t="s">
        <v>223</v>
      </c>
    </row>
    <row r="18" spans="1:9" x14ac:dyDescent="0.3">
      <c r="A18" s="4" t="s">
        <v>236</v>
      </c>
      <c r="B18" s="13">
        <v>170156</v>
      </c>
      <c r="C18" s="13">
        <v>139219</v>
      </c>
      <c r="D18" s="14">
        <f t="shared" si="0"/>
        <v>309375</v>
      </c>
      <c r="E18" s="12" t="s">
        <v>131</v>
      </c>
      <c r="G18" s="1" t="s">
        <v>237</v>
      </c>
      <c r="H18" s="22">
        <v>45000</v>
      </c>
      <c r="I18" s="2" t="s">
        <v>223</v>
      </c>
    </row>
    <row r="19" spans="1:9" x14ac:dyDescent="0.3">
      <c r="A19" s="4" t="s">
        <v>238</v>
      </c>
      <c r="B19" s="13">
        <v>331064</v>
      </c>
      <c r="C19" s="13">
        <v>155655</v>
      </c>
      <c r="D19" s="14">
        <f t="shared" si="0"/>
        <v>486719</v>
      </c>
      <c r="E19" s="12" t="s">
        <v>131</v>
      </c>
      <c r="G19" s="1" t="s">
        <v>239</v>
      </c>
      <c r="H19" s="22">
        <v>30000</v>
      </c>
      <c r="I19" s="2" t="s">
        <v>223</v>
      </c>
    </row>
    <row r="20" spans="1:9" x14ac:dyDescent="0.3">
      <c r="A20" s="4" t="s">
        <v>240</v>
      </c>
      <c r="B20" s="13">
        <v>276963</v>
      </c>
      <c r="C20" s="13">
        <v>144788</v>
      </c>
      <c r="D20" s="14">
        <f t="shared" si="0"/>
        <v>421751</v>
      </c>
      <c r="E20" s="12" t="s">
        <v>132</v>
      </c>
      <c r="G20" s="1" t="s">
        <v>241</v>
      </c>
      <c r="H20" s="21">
        <f>SUM(H11:H19)</f>
        <v>2095000</v>
      </c>
    </row>
    <row r="21" spans="1:9" ht="15.75" customHeight="1" x14ac:dyDescent="0.3">
      <c r="A21" s="4" t="s">
        <v>242</v>
      </c>
      <c r="B21" s="13">
        <v>330051</v>
      </c>
      <c r="C21" s="13">
        <v>188224</v>
      </c>
      <c r="D21" s="14">
        <f t="shared" si="0"/>
        <v>518275</v>
      </c>
      <c r="E21" s="12" t="s">
        <v>132</v>
      </c>
    </row>
    <row r="22" spans="1:9" ht="15.75" customHeight="1" x14ac:dyDescent="0.3">
      <c r="A22" s="4" t="s">
        <v>243</v>
      </c>
      <c r="B22" s="13">
        <v>299067</v>
      </c>
      <c r="C22" s="13">
        <v>204691</v>
      </c>
      <c r="D22" s="14">
        <f t="shared" si="0"/>
        <v>503758</v>
      </c>
      <c r="E22" s="12" t="s">
        <v>132</v>
      </c>
    </row>
    <row r="23" spans="1:9" ht="15.75" customHeight="1" x14ac:dyDescent="0.3">
      <c r="A23" s="4" t="s">
        <v>244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34" t="s">
        <v>245</v>
      </c>
      <c r="B25" s="32"/>
      <c r="C25" s="32"/>
      <c r="D25" s="32"/>
      <c r="E25" s="32"/>
      <c r="F25" s="32"/>
    </row>
    <row r="26" spans="1:9" ht="15.75" customHeight="1" x14ac:dyDescent="0.3">
      <c r="A26" s="3" t="s">
        <v>128</v>
      </c>
      <c r="B26" s="3" t="s">
        <v>129</v>
      </c>
      <c r="C26" s="3" t="s">
        <v>130</v>
      </c>
      <c r="D26" s="3" t="s">
        <v>131</v>
      </c>
      <c r="E26" s="3" t="s">
        <v>132</v>
      </c>
      <c r="F26" s="3" t="s">
        <v>133</v>
      </c>
    </row>
    <row r="27" spans="1:9" ht="15.75" customHeight="1" x14ac:dyDescent="0.3">
      <c r="A27" s="4" t="s">
        <v>150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151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246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1"/>
  <sheetViews>
    <sheetView showGridLines="0" workbookViewId="0">
      <selection activeCell="G17" sqref="B17:G17"/>
    </sheetView>
  </sheetViews>
  <sheetFormatPr defaultColWidth="14.44140625" defaultRowHeight="14.4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33" t="s">
        <v>247</v>
      </c>
      <c r="B1" s="32"/>
      <c r="C1" s="32"/>
      <c r="D1" s="32"/>
      <c r="E1" s="32"/>
      <c r="F1" s="32"/>
      <c r="G1" s="32"/>
      <c r="H1" s="32"/>
    </row>
    <row r="2" spans="1:9" x14ac:dyDescent="0.3">
      <c r="A2" s="31" t="s">
        <v>248</v>
      </c>
      <c r="B2" s="32"/>
      <c r="C2" s="32"/>
      <c r="D2" s="32"/>
      <c r="E2" s="32"/>
      <c r="F2" s="32"/>
      <c r="G2" s="32"/>
      <c r="H2" s="32"/>
    </row>
    <row r="3" spans="1:9" x14ac:dyDescent="0.3">
      <c r="A3" s="3" t="s">
        <v>219</v>
      </c>
      <c r="B3" s="3" t="s">
        <v>249</v>
      </c>
      <c r="C3" s="3" t="s">
        <v>250</v>
      </c>
      <c r="D3" s="3" t="s">
        <v>251</v>
      </c>
      <c r="E3" s="3" t="s">
        <v>252</v>
      </c>
      <c r="F3" s="3" t="s">
        <v>253</v>
      </c>
      <c r="G3" s="3" t="s">
        <v>254</v>
      </c>
      <c r="H3" s="3" t="s">
        <v>255</v>
      </c>
      <c r="I3" s="3" t="s">
        <v>39</v>
      </c>
    </row>
    <row r="4" spans="1:9" x14ac:dyDescent="0.3">
      <c r="A4" s="4" t="s">
        <v>239</v>
      </c>
      <c r="B4" s="5" t="s">
        <v>256</v>
      </c>
      <c r="C4" s="12" t="s">
        <v>257</v>
      </c>
      <c r="D4" s="12" t="s">
        <v>258</v>
      </c>
      <c r="E4" s="13">
        <v>30000</v>
      </c>
      <c r="F4" s="23">
        <v>0.95</v>
      </c>
      <c r="G4" s="14">
        <f t="shared" ref="G4:G10" si="0">IF(AND(E4&lt;&gt;0,NOT(ISBLANK(E4)),NOT(ISBLANK(F4))),E4*F4,"")</f>
        <v>28500</v>
      </c>
      <c r="H4" s="24" t="s">
        <v>251</v>
      </c>
      <c r="I4" s="12" t="s">
        <v>259</v>
      </c>
    </row>
    <row r="5" spans="1:9" x14ac:dyDescent="0.3">
      <c r="A5" s="4" t="s">
        <v>260</v>
      </c>
      <c r="B5" s="5" t="s">
        <v>261</v>
      </c>
      <c r="C5" s="12" t="s">
        <v>257</v>
      </c>
      <c r="D5" s="12" t="s">
        <v>262</v>
      </c>
      <c r="E5" s="13">
        <v>75000</v>
      </c>
      <c r="F5" s="23">
        <v>1</v>
      </c>
      <c r="G5" s="14">
        <f t="shared" si="0"/>
        <v>75000</v>
      </c>
      <c r="H5" s="24" t="s">
        <v>251</v>
      </c>
      <c r="I5" s="12" t="s">
        <v>259</v>
      </c>
    </row>
    <row r="6" spans="1:9" x14ac:dyDescent="0.3">
      <c r="A6" s="4" t="s">
        <v>225</v>
      </c>
      <c r="B6" s="5" t="s">
        <v>263</v>
      </c>
      <c r="C6" s="12" t="s">
        <v>257</v>
      </c>
      <c r="D6" s="12" t="s">
        <v>264</v>
      </c>
      <c r="E6" s="13"/>
      <c r="F6" s="23">
        <v>0.85</v>
      </c>
      <c r="G6" s="14" t="str">
        <f t="shared" si="0"/>
        <v/>
      </c>
      <c r="H6" s="24" t="s">
        <v>251</v>
      </c>
      <c r="I6" s="12" t="s">
        <v>259</v>
      </c>
    </row>
    <row r="7" spans="1:9" x14ac:dyDescent="0.3">
      <c r="A7" s="4" t="s">
        <v>265</v>
      </c>
      <c r="B7" s="5" t="s">
        <v>266</v>
      </c>
      <c r="C7" s="12" t="s">
        <v>257</v>
      </c>
      <c r="D7" s="12" t="s">
        <v>267</v>
      </c>
      <c r="E7" s="13">
        <v>500000</v>
      </c>
      <c r="F7" s="23">
        <v>0.8</v>
      </c>
      <c r="G7" s="14">
        <f t="shared" si="0"/>
        <v>400000</v>
      </c>
      <c r="H7" s="24" t="s">
        <v>251</v>
      </c>
      <c r="I7" s="12" t="s">
        <v>259</v>
      </c>
    </row>
    <row r="8" spans="1:9" x14ac:dyDescent="0.3">
      <c r="A8" s="4" t="s">
        <v>268</v>
      </c>
      <c r="B8" s="5" t="s">
        <v>269</v>
      </c>
      <c r="C8" s="12" t="s">
        <v>257</v>
      </c>
      <c r="D8" s="12" t="s">
        <v>267</v>
      </c>
      <c r="E8" s="13">
        <v>20000</v>
      </c>
      <c r="F8" s="23">
        <v>1</v>
      </c>
      <c r="G8" s="14">
        <f t="shared" si="0"/>
        <v>20000</v>
      </c>
      <c r="H8" s="24" t="s">
        <v>270</v>
      </c>
      <c r="I8" s="12" t="s">
        <v>259</v>
      </c>
    </row>
    <row r="9" spans="1:9" x14ac:dyDescent="0.3">
      <c r="A9" s="4" t="s">
        <v>271</v>
      </c>
      <c r="B9" s="5" t="s">
        <v>272</v>
      </c>
      <c r="C9" s="12" t="s">
        <v>257</v>
      </c>
      <c r="D9" s="12" t="s">
        <v>273</v>
      </c>
      <c r="E9" s="13">
        <v>500000</v>
      </c>
      <c r="F9" s="23">
        <v>0.6</v>
      </c>
      <c r="G9" s="14">
        <f t="shared" si="0"/>
        <v>300000</v>
      </c>
      <c r="H9" s="24" t="s">
        <v>251</v>
      </c>
      <c r="I9" s="12" t="s">
        <v>259</v>
      </c>
    </row>
    <row r="10" spans="1:9" x14ac:dyDescent="0.3">
      <c r="A10" s="4" t="s">
        <v>265</v>
      </c>
      <c r="B10" s="5" t="s">
        <v>274</v>
      </c>
      <c r="C10" s="12" t="s">
        <v>257</v>
      </c>
      <c r="D10" s="12" t="s">
        <v>275</v>
      </c>
      <c r="E10" s="13">
        <v>1000000</v>
      </c>
      <c r="F10" s="23">
        <v>0.6</v>
      </c>
      <c r="G10" s="14">
        <f t="shared" si="0"/>
        <v>600000</v>
      </c>
      <c r="H10" s="24" t="s">
        <v>251</v>
      </c>
      <c r="I10" s="12" t="s">
        <v>259</v>
      </c>
    </row>
    <row r="11" spans="1:9" x14ac:dyDescent="0.3">
      <c r="A11" s="4" t="s">
        <v>276</v>
      </c>
      <c r="B11" s="5" t="s">
        <v>277</v>
      </c>
      <c r="C11" s="12" t="s">
        <v>257</v>
      </c>
      <c r="D11" s="12" t="s">
        <v>267</v>
      </c>
      <c r="E11" s="13"/>
      <c r="F11" s="23">
        <v>0.5</v>
      </c>
      <c r="G11" s="14">
        <v>50000</v>
      </c>
      <c r="H11" s="24" t="s">
        <v>251</v>
      </c>
      <c r="I11" s="12" t="s">
        <v>259</v>
      </c>
    </row>
    <row r="12" spans="1:9" x14ac:dyDescent="0.3">
      <c r="A12" s="4" t="s">
        <v>278</v>
      </c>
      <c r="B12" s="5" t="s">
        <v>279</v>
      </c>
      <c r="C12" s="12" t="s">
        <v>257</v>
      </c>
      <c r="D12" s="12" t="s">
        <v>267</v>
      </c>
      <c r="E12" s="13"/>
      <c r="F12" s="23">
        <v>0.5</v>
      </c>
      <c r="G12" s="14">
        <v>50000</v>
      </c>
      <c r="H12" s="24" t="s">
        <v>251</v>
      </c>
      <c r="I12" s="12" t="s">
        <v>259</v>
      </c>
    </row>
    <row r="13" spans="1:9" x14ac:dyDescent="0.3">
      <c r="A13" s="4" t="s">
        <v>280</v>
      </c>
      <c r="B13" s="5" t="s">
        <v>281</v>
      </c>
      <c r="C13" s="12" t="s">
        <v>257</v>
      </c>
      <c r="D13" s="12" t="s">
        <v>267</v>
      </c>
      <c r="E13" s="13"/>
      <c r="F13" s="23">
        <v>0.5</v>
      </c>
      <c r="G13" s="14">
        <v>50000</v>
      </c>
      <c r="H13" s="24" t="s">
        <v>251</v>
      </c>
      <c r="I13" s="12" t="s">
        <v>259</v>
      </c>
    </row>
    <row r="14" spans="1:9" x14ac:dyDescent="0.3">
      <c r="A14" s="4" t="s">
        <v>282</v>
      </c>
      <c r="B14" s="5" t="s">
        <v>283</v>
      </c>
      <c r="C14" s="12" t="s">
        <v>257</v>
      </c>
      <c r="D14" s="12" t="s">
        <v>284</v>
      </c>
      <c r="E14" s="13">
        <v>100000</v>
      </c>
      <c r="F14" s="23">
        <v>0.5</v>
      </c>
      <c r="G14" s="14">
        <f t="shared" ref="G14:G23" si="1">IF(AND(E14&lt;&gt;0,NOT(ISBLANK(E14)),NOT(ISBLANK(F14))),E14*F14,"")</f>
        <v>50000</v>
      </c>
      <c r="H14" s="24" t="s">
        <v>251</v>
      </c>
      <c r="I14" s="12" t="s">
        <v>259</v>
      </c>
    </row>
    <row r="15" spans="1:9" x14ac:dyDescent="0.3">
      <c r="A15" s="4" t="s">
        <v>222</v>
      </c>
      <c r="B15" s="5" t="s">
        <v>285</v>
      </c>
      <c r="C15" s="12" t="s">
        <v>286</v>
      </c>
      <c r="D15" s="12" t="s">
        <v>273</v>
      </c>
      <c r="E15" s="13">
        <v>500000</v>
      </c>
      <c r="F15" s="23">
        <v>0.5</v>
      </c>
      <c r="G15" s="14">
        <f t="shared" si="1"/>
        <v>250000</v>
      </c>
      <c r="H15" s="24" t="s">
        <v>251</v>
      </c>
      <c r="I15" s="12" t="s">
        <v>259</v>
      </c>
    </row>
    <row r="16" spans="1:9" x14ac:dyDescent="0.3">
      <c r="A16" s="4" t="s">
        <v>265</v>
      </c>
      <c r="B16" s="5" t="s">
        <v>287</v>
      </c>
      <c r="C16" s="12" t="s">
        <v>257</v>
      </c>
      <c r="D16" s="12" t="s">
        <v>258</v>
      </c>
      <c r="E16" s="13">
        <v>90000</v>
      </c>
      <c r="F16" s="23">
        <v>0.5</v>
      </c>
      <c r="G16" s="14">
        <f t="shared" si="1"/>
        <v>45000</v>
      </c>
      <c r="H16" s="24" t="s">
        <v>251</v>
      </c>
      <c r="I16" s="12" t="s">
        <v>259</v>
      </c>
    </row>
    <row r="17" spans="1:9" x14ac:dyDescent="0.3">
      <c r="A17" s="4" t="s">
        <v>288</v>
      </c>
      <c r="B17" s="5" t="s">
        <v>289</v>
      </c>
      <c r="C17" s="12" t="s">
        <v>257</v>
      </c>
      <c r="D17" s="12" t="s">
        <v>284</v>
      </c>
      <c r="E17" s="13"/>
      <c r="F17" s="23">
        <v>0.5</v>
      </c>
      <c r="G17" s="14" t="str">
        <f t="shared" si="1"/>
        <v/>
      </c>
      <c r="H17" s="24" t="s">
        <v>251</v>
      </c>
      <c r="I17" s="12" t="s">
        <v>259</v>
      </c>
    </row>
    <row r="18" spans="1:9" x14ac:dyDescent="0.3">
      <c r="A18" s="4" t="s">
        <v>290</v>
      </c>
      <c r="B18" s="5" t="s">
        <v>261</v>
      </c>
      <c r="C18" s="12" t="s">
        <v>257</v>
      </c>
      <c r="D18" s="12" t="s">
        <v>267</v>
      </c>
      <c r="E18" s="13">
        <v>195000</v>
      </c>
      <c r="F18" s="23">
        <v>0.4</v>
      </c>
      <c r="G18" s="14">
        <f t="shared" si="1"/>
        <v>78000</v>
      </c>
      <c r="H18" s="24" t="s">
        <v>251</v>
      </c>
      <c r="I18" s="12" t="s">
        <v>259</v>
      </c>
    </row>
    <row r="19" spans="1:9" x14ac:dyDescent="0.3">
      <c r="A19" s="4" t="s">
        <v>291</v>
      </c>
      <c r="B19" s="5" t="s">
        <v>292</v>
      </c>
      <c r="C19" s="12" t="s">
        <v>257</v>
      </c>
      <c r="D19" s="12" t="s">
        <v>293</v>
      </c>
      <c r="E19" s="13">
        <v>100000</v>
      </c>
      <c r="F19" s="23">
        <v>0.3</v>
      </c>
      <c r="G19" s="14">
        <f t="shared" si="1"/>
        <v>30000</v>
      </c>
      <c r="H19" s="24" t="s">
        <v>251</v>
      </c>
      <c r="I19" s="12" t="s">
        <v>259</v>
      </c>
    </row>
    <row r="20" spans="1:9" x14ac:dyDescent="0.3">
      <c r="A20" s="4" t="s">
        <v>239</v>
      </c>
      <c r="B20" s="5" t="s">
        <v>274</v>
      </c>
      <c r="C20" s="12" t="s">
        <v>257</v>
      </c>
      <c r="D20" s="12" t="s">
        <v>275</v>
      </c>
      <c r="E20" s="13">
        <v>45000</v>
      </c>
      <c r="F20" s="23">
        <v>0.6</v>
      </c>
      <c r="G20" s="14">
        <f t="shared" si="1"/>
        <v>27000</v>
      </c>
      <c r="H20" s="24" t="s">
        <v>251</v>
      </c>
      <c r="I20" s="12" t="s">
        <v>259</v>
      </c>
    </row>
    <row r="21" spans="1:9" ht="15.75" customHeight="1" x14ac:dyDescent="0.3">
      <c r="A21" s="4" t="s">
        <v>239</v>
      </c>
      <c r="B21" s="5" t="s">
        <v>294</v>
      </c>
      <c r="C21" s="12" t="s">
        <v>257</v>
      </c>
      <c r="D21" s="12" t="s">
        <v>273</v>
      </c>
      <c r="E21" s="13">
        <v>30000</v>
      </c>
      <c r="F21" s="23">
        <v>1</v>
      </c>
      <c r="G21" s="14">
        <f t="shared" si="1"/>
        <v>30000</v>
      </c>
      <c r="H21" s="24" t="s">
        <v>270</v>
      </c>
      <c r="I21" s="12" t="s">
        <v>259</v>
      </c>
    </row>
    <row r="22" spans="1:9" ht="15.75" customHeight="1" x14ac:dyDescent="0.3">
      <c r="A22" s="4" t="s">
        <v>239</v>
      </c>
      <c r="B22" s="5" t="s">
        <v>261</v>
      </c>
      <c r="C22" s="12" t="s">
        <v>257</v>
      </c>
      <c r="D22" s="12" t="s">
        <v>293</v>
      </c>
      <c r="E22" s="13">
        <v>140000</v>
      </c>
      <c r="F22" s="23">
        <v>0.5</v>
      </c>
      <c r="G22" s="14">
        <f t="shared" si="1"/>
        <v>70000</v>
      </c>
      <c r="H22" s="24" t="s">
        <v>251</v>
      </c>
      <c r="I22" s="12" t="s">
        <v>259</v>
      </c>
    </row>
    <row r="23" spans="1:9" ht="15.75" customHeight="1" x14ac:dyDescent="0.3">
      <c r="A23" s="4" t="s">
        <v>295</v>
      </c>
      <c r="B23" s="5" t="s">
        <v>296</v>
      </c>
      <c r="C23" s="12" t="s">
        <v>257</v>
      </c>
      <c r="D23" s="12" t="s">
        <v>264</v>
      </c>
      <c r="E23" s="13">
        <v>100000</v>
      </c>
      <c r="F23" s="23">
        <v>0</v>
      </c>
      <c r="G23" s="14">
        <f t="shared" si="1"/>
        <v>0</v>
      </c>
      <c r="H23" s="24" t="s">
        <v>297</v>
      </c>
      <c r="I23" s="12" t="s">
        <v>259</v>
      </c>
    </row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  <row r="1001" customFormat="1" ht="15.75" customHeight="1" x14ac:dyDescent="0.3"/>
  </sheetData>
  <mergeCells count="2">
    <mergeCell ref="A2:H2"/>
    <mergeCell ref="A1:H1"/>
  </mergeCells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selection sqref="A1:F1"/>
    </sheetView>
  </sheetViews>
  <sheetFormatPr defaultColWidth="14.44140625" defaultRowHeight="14.4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33" t="s">
        <v>298</v>
      </c>
      <c r="B1" s="32"/>
      <c r="C1" s="32"/>
      <c r="D1" s="32"/>
      <c r="E1" s="32"/>
      <c r="F1" s="32"/>
    </row>
    <row r="2" spans="1:6" x14ac:dyDescent="0.3">
      <c r="A2" s="31" t="s">
        <v>299</v>
      </c>
      <c r="B2" s="32"/>
      <c r="C2" s="32"/>
      <c r="D2" s="32"/>
      <c r="E2" s="32"/>
      <c r="F2" s="32"/>
    </row>
    <row r="3" spans="1:6" x14ac:dyDescent="0.3">
      <c r="A3" s="3" t="s">
        <v>300</v>
      </c>
      <c r="B3" s="3" t="s">
        <v>301</v>
      </c>
      <c r="C3" s="3" t="s">
        <v>302</v>
      </c>
    </row>
    <row r="4" spans="1:6" x14ac:dyDescent="0.3">
      <c r="A4" s="4" t="s">
        <v>303</v>
      </c>
      <c r="B4" s="24" t="s">
        <v>304</v>
      </c>
      <c r="C4" s="23">
        <v>1</v>
      </c>
    </row>
    <row r="5" spans="1:6" x14ac:dyDescent="0.3">
      <c r="A5" s="4" t="s">
        <v>305</v>
      </c>
      <c r="B5" s="24" t="s">
        <v>304</v>
      </c>
      <c r="C5" s="23">
        <v>1</v>
      </c>
    </row>
    <row r="6" spans="1:6" x14ac:dyDescent="0.3">
      <c r="A6" s="4" t="s">
        <v>306</v>
      </c>
      <c r="B6" s="24" t="s">
        <v>307</v>
      </c>
      <c r="C6" s="23">
        <v>0.5</v>
      </c>
    </row>
    <row r="7" spans="1:6" x14ac:dyDescent="0.3">
      <c r="A7" s="4" t="s">
        <v>308</v>
      </c>
      <c r="B7" s="24" t="s">
        <v>307</v>
      </c>
      <c r="C7" s="23">
        <v>0.5</v>
      </c>
    </row>
    <row r="8" spans="1:6" x14ac:dyDescent="0.3">
      <c r="A8" s="4" t="s">
        <v>309</v>
      </c>
      <c r="B8" s="24" t="s">
        <v>307</v>
      </c>
      <c r="C8" s="23">
        <v>0.5</v>
      </c>
    </row>
    <row r="9" spans="1:6" x14ac:dyDescent="0.3">
      <c r="A9" s="4" t="s">
        <v>310</v>
      </c>
      <c r="B9" s="24" t="s">
        <v>307</v>
      </c>
      <c r="C9" s="23">
        <v>0.4</v>
      </c>
    </row>
    <row r="10" spans="1:6" x14ac:dyDescent="0.3">
      <c r="A10" s="4" t="s">
        <v>311</v>
      </c>
      <c r="B10" s="24" t="s">
        <v>307</v>
      </c>
      <c r="C10" s="23">
        <v>0.3</v>
      </c>
    </row>
    <row r="11" spans="1:6" x14ac:dyDescent="0.3">
      <c r="A11" s="4" t="s">
        <v>312</v>
      </c>
      <c r="B11" s="24" t="s">
        <v>313</v>
      </c>
      <c r="C11" s="23">
        <v>0.3</v>
      </c>
    </row>
    <row r="12" spans="1:6" x14ac:dyDescent="0.3">
      <c r="A12" s="4" t="s">
        <v>314</v>
      </c>
      <c r="B12" s="24" t="s">
        <v>307</v>
      </c>
      <c r="C12" s="23">
        <v>0.3</v>
      </c>
    </row>
    <row r="13" spans="1:6" x14ac:dyDescent="0.3">
      <c r="A13" s="4" t="s">
        <v>315</v>
      </c>
      <c r="B13" s="24" t="s">
        <v>313</v>
      </c>
      <c r="C13" s="23">
        <v>0.2</v>
      </c>
    </row>
    <row r="21" customFormat="1" ht="15.75" customHeight="1" x14ac:dyDescent="0.3"/>
    <row r="22" customFormat="1" ht="15.75" customHeight="1" x14ac:dyDescent="0.3"/>
    <row r="23" customFormat="1" ht="15.75" customHeight="1" x14ac:dyDescent="0.3"/>
    <row r="24" customFormat="1" ht="15.75" customHeight="1" x14ac:dyDescent="0.3"/>
    <row r="25" customFormat="1" ht="15.75" customHeight="1" x14ac:dyDescent="0.3"/>
    <row r="26" customFormat="1" ht="15.75" customHeight="1" x14ac:dyDescent="0.3"/>
    <row r="27" customFormat="1" ht="15.75" customHeight="1" x14ac:dyDescent="0.3"/>
    <row r="28" customFormat="1" ht="15.75" customHeight="1" x14ac:dyDescent="0.3"/>
    <row r="29" customFormat="1" ht="15.75" customHeight="1" x14ac:dyDescent="0.3"/>
    <row r="30" customFormat="1" ht="15.75" customHeight="1" x14ac:dyDescent="0.3"/>
    <row r="31" customFormat="1" ht="15.75" customHeight="1" x14ac:dyDescent="0.3"/>
    <row r="32" customFormat="1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2">
    <mergeCell ref="A2:F2"/>
    <mergeCell ref="A1:F1"/>
  </mergeCells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selection activeCell="I5" sqref="I5"/>
    </sheetView>
  </sheetViews>
  <sheetFormatPr defaultColWidth="14.44140625" defaultRowHeight="14.4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33" t="s">
        <v>88</v>
      </c>
      <c r="B1" s="32"/>
      <c r="C1" s="32"/>
      <c r="D1" s="32"/>
      <c r="E1" s="32"/>
      <c r="F1" s="32"/>
      <c r="G1" s="32"/>
      <c r="H1" s="32"/>
    </row>
    <row r="2" spans="1:9" x14ac:dyDescent="0.3">
      <c r="A2" s="31" t="s">
        <v>316</v>
      </c>
      <c r="B2" s="32"/>
      <c r="C2" s="32"/>
      <c r="D2" s="32"/>
      <c r="E2" s="32"/>
      <c r="F2" s="32"/>
      <c r="G2" s="32"/>
      <c r="H2" s="32"/>
    </row>
    <row r="3" spans="1:9" x14ac:dyDescent="0.3">
      <c r="A3" s="34" t="s">
        <v>317</v>
      </c>
      <c r="B3" s="32"/>
      <c r="C3" s="32"/>
      <c r="D3" s="32"/>
      <c r="E3" s="32"/>
      <c r="F3" s="32"/>
      <c r="G3" s="32"/>
    </row>
    <row r="4" spans="1:9" x14ac:dyDescent="0.3">
      <c r="A4" s="3" t="s">
        <v>206</v>
      </c>
      <c r="B4" s="3" t="s">
        <v>318</v>
      </c>
      <c r="C4" s="3" t="s">
        <v>252</v>
      </c>
      <c r="D4" s="3" t="s">
        <v>319</v>
      </c>
      <c r="E4" s="3" t="s">
        <v>320</v>
      </c>
      <c r="F4" s="3" t="s">
        <v>321</v>
      </c>
      <c r="G4" s="3" t="s">
        <v>322</v>
      </c>
      <c r="H4" s="18" t="s">
        <v>323</v>
      </c>
      <c r="I4" s="18" t="s">
        <v>117</v>
      </c>
    </row>
    <row r="5" spans="1:9" x14ac:dyDescent="0.3">
      <c r="A5" s="4" t="s">
        <v>324</v>
      </c>
      <c r="B5" s="13">
        <v>9</v>
      </c>
      <c r="C5" s="13">
        <v>3700000</v>
      </c>
      <c r="D5" s="13">
        <v>2</v>
      </c>
      <c r="E5" s="24" t="s">
        <v>325</v>
      </c>
      <c r="F5" s="13">
        <v>7</v>
      </c>
      <c r="G5" s="25">
        <v>0</v>
      </c>
      <c r="H5" s="21">
        <f>COUNTIF(Sales_Raw_Opportunities!F:F,G5)</f>
        <v>1</v>
      </c>
      <c r="I5" s="2" t="s">
        <v>326</v>
      </c>
    </row>
    <row r="6" spans="1:9" x14ac:dyDescent="0.3">
      <c r="A6" s="4" t="s">
        <v>80</v>
      </c>
      <c r="B6" s="13">
        <f>COUNTA(Pipeline_Revenue!G11:G19)</f>
        <v>9</v>
      </c>
      <c r="C6" s="13">
        <f>SUM(Pipeline_Revenue!H11:H19)</f>
        <v>2095000</v>
      </c>
      <c r="D6" s="13">
        <f>COUNTIF(Pipeline_Revenue!A11:A19,"Apr")</f>
        <v>1</v>
      </c>
      <c r="E6" s="24" t="s">
        <v>229</v>
      </c>
      <c r="F6" s="13">
        <v>4</v>
      </c>
      <c r="G6" s="25">
        <v>0.3</v>
      </c>
      <c r="H6" s="21">
        <f>COUNTIF(Sales_Raw_Opportunities!F:F,G6)</f>
        <v>1</v>
      </c>
      <c r="I6" s="2" t="s">
        <v>326</v>
      </c>
    </row>
    <row r="7" spans="1:9" x14ac:dyDescent="0.3">
      <c r="A7" s="4" t="s">
        <v>327</v>
      </c>
      <c r="B7" s="13">
        <f>COUNTIF(Sales_Raw_Opportunities!H:H,"Submitted")</f>
        <v>17</v>
      </c>
      <c r="C7" s="13">
        <f>SUMIF(Sales_Raw_Opportunities!H:H,"Submitted",Sales_Raw_Opportunities!E:E)</f>
        <v>3275000</v>
      </c>
      <c r="D7" s="13">
        <f>COUNTIFS(Sales_Raw_Opportunities!H:H,"Submitted",Sales_Raw_Opportunities!D:D,"Apr 2026")</f>
        <v>0</v>
      </c>
      <c r="E7" s="24" t="s">
        <v>328</v>
      </c>
      <c r="F7" s="13">
        <v>2</v>
      </c>
      <c r="G7" s="25">
        <v>0.4</v>
      </c>
      <c r="H7" s="21">
        <f>COUNTIF(Sales_Raw_Opportunities!F:F,G7)</f>
        <v>1</v>
      </c>
      <c r="I7" s="2" t="s">
        <v>326</v>
      </c>
    </row>
    <row r="8" spans="1:9" x14ac:dyDescent="0.3">
      <c r="A8" s="4" t="s">
        <v>329</v>
      </c>
      <c r="B8" s="13">
        <f>COUNTIF(Sales_Raw_Opportunities!H:H,"Won")</f>
        <v>2</v>
      </c>
      <c r="C8" s="13">
        <f>SUMIF(Sales_Raw_Opportunities!H:H,"Won",Sales_Raw_Opportunities!E:E)</f>
        <v>50000</v>
      </c>
      <c r="D8" s="13">
        <f>COUNTIFS(Sales_Raw_Opportunities!H:H,"Won",Sales_Raw_Opportunities!D:D,"Apr 2026")</f>
        <v>0</v>
      </c>
      <c r="E8" s="24" t="s">
        <v>330</v>
      </c>
      <c r="F8" s="13">
        <v>0</v>
      </c>
      <c r="G8" s="25">
        <v>0.5</v>
      </c>
      <c r="H8" s="21">
        <f>COUNTIF(Sales_Raw_Opportunities!F:F,G8)</f>
        <v>8</v>
      </c>
      <c r="I8" s="2" t="s">
        <v>326</v>
      </c>
    </row>
    <row r="9" spans="1:9" x14ac:dyDescent="0.3">
      <c r="A9" s="34" t="s">
        <v>92</v>
      </c>
      <c r="B9" s="32"/>
      <c r="C9" s="32"/>
      <c r="D9" s="32"/>
      <c r="E9" s="32"/>
      <c r="G9" s="26"/>
      <c r="H9" s="21"/>
      <c r="I9" s="2" t="s">
        <v>326</v>
      </c>
    </row>
    <row r="10" spans="1:9" x14ac:dyDescent="0.3">
      <c r="A10" s="3" t="s">
        <v>255</v>
      </c>
      <c r="B10" s="3" t="s">
        <v>318</v>
      </c>
      <c r="C10" s="3" t="s">
        <v>252</v>
      </c>
      <c r="D10" s="3" t="s">
        <v>331</v>
      </c>
      <c r="E10" s="3" t="s">
        <v>207</v>
      </c>
      <c r="G10" s="26"/>
      <c r="H10" s="21"/>
      <c r="I10" s="2" t="s">
        <v>326</v>
      </c>
    </row>
    <row r="11" spans="1:9" x14ac:dyDescent="0.3">
      <c r="A11" s="4" t="s">
        <v>332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333</v>
      </c>
      <c r="G11" s="26"/>
      <c r="H11" s="21"/>
      <c r="I11" s="2" t="s">
        <v>326</v>
      </c>
    </row>
    <row r="12" spans="1:9" x14ac:dyDescent="0.3">
      <c r="A12" s="4" t="s">
        <v>334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333</v>
      </c>
      <c r="G12" s="26"/>
      <c r="H12" s="21"/>
      <c r="I12" s="2" t="s">
        <v>326</v>
      </c>
    </row>
    <row r="13" spans="1:9" x14ac:dyDescent="0.3">
      <c r="A13" s="4" t="s">
        <v>335</v>
      </c>
      <c r="B13" s="14">
        <f t="shared" si="0"/>
        <v>17</v>
      </c>
      <c r="C13" s="14">
        <f t="shared" si="0"/>
        <v>3275000</v>
      </c>
      <c r="D13" s="12"/>
      <c r="E13" s="12" t="s">
        <v>336</v>
      </c>
      <c r="G13" s="26"/>
      <c r="H13" s="21"/>
      <c r="I13" s="2" t="s">
        <v>326</v>
      </c>
    </row>
    <row r="14" spans="1:9" x14ac:dyDescent="0.3">
      <c r="A14" s="4" t="s">
        <v>337</v>
      </c>
      <c r="B14" s="14">
        <f t="shared" si="0"/>
        <v>2</v>
      </c>
      <c r="C14" s="14">
        <f t="shared" si="0"/>
        <v>50000</v>
      </c>
      <c r="D14" s="15">
        <f>IFERROR(B14/B13,0)</f>
        <v>0.11764705882352941</v>
      </c>
      <c r="E14" s="12" t="s">
        <v>333</v>
      </c>
      <c r="G14" s="26"/>
      <c r="H14" s="21"/>
      <c r="I14" s="2" t="s">
        <v>326</v>
      </c>
    </row>
    <row r="15" spans="1:9" x14ac:dyDescent="0.3">
      <c r="A15" s="34" t="s">
        <v>338</v>
      </c>
      <c r="B15" s="32"/>
      <c r="C15" s="32"/>
    </row>
    <row r="16" spans="1:9" x14ac:dyDescent="0.3">
      <c r="A16" s="34" t="s">
        <v>339</v>
      </c>
      <c r="B16" s="32"/>
      <c r="G16" s="18" t="s">
        <v>340</v>
      </c>
      <c r="H16" s="18" t="s">
        <v>219</v>
      </c>
      <c r="I16" s="18" t="s">
        <v>341</v>
      </c>
    </row>
    <row r="17" spans="1:9" x14ac:dyDescent="0.3">
      <c r="A17" s="3" t="s">
        <v>103</v>
      </c>
      <c r="B17" s="3" t="s">
        <v>342</v>
      </c>
      <c r="G17" s="1">
        <v>1</v>
      </c>
      <c r="H17" s="27" t="s">
        <v>265</v>
      </c>
      <c r="I17" s="21">
        <f>SUMIF(Sales_Raw_Opportunities!A:A,H17,Sales_Raw_Opportunities!E:E)</f>
        <v>1590000</v>
      </c>
    </row>
    <row r="18" spans="1:9" x14ac:dyDescent="0.3">
      <c r="A18" s="4"/>
      <c r="B18" s="5"/>
      <c r="G18" s="1"/>
      <c r="H18" s="27"/>
      <c r="I18" s="21"/>
    </row>
    <row r="19" spans="1:9" x14ac:dyDescent="0.3">
      <c r="A19" s="4"/>
      <c r="B19" s="5"/>
      <c r="G19" s="1"/>
      <c r="H19" s="27"/>
      <c r="I19" s="21"/>
    </row>
    <row r="20" spans="1:9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343</v>
      </c>
    </row>
    <row r="26" spans="1:9" ht="15.75" customHeight="1" x14ac:dyDescent="0.3">
      <c r="A26" s="2" t="s">
        <v>344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4.4" x14ac:dyDescent="0.3"/>
  <cols>
    <col min="1" max="26" width="8.6640625" customWidth="1"/>
  </cols>
  <sheetData>
    <row r="1" spans="1:2" x14ac:dyDescent="0.3">
      <c r="A1" s="2" t="s">
        <v>345</v>
      </c>
      <c r="B1" s="2" t="s">
        <v>304</v>
      </c>
    </row>
    <row r="2" spans="1:2" x14ac:dyDescent="0.3">
      <c r="A2" s="2" t="s">
        <v>346</v>
      </c>
      <c r="B2" s="2" t="s">
        <v>307</v>
      </c>
    </row>
    <row r="3" spans="1:2" x14ac:dyDescent="0.3">
      <c r="A3" s="2" t="s">
        <v>251</v>
      </c>
      <c r="B3" s="2" t="s">
        <v>313</v>
      </c>
    </row>
    <row r="4" spans="1:2" x14ac:dyDescent="0.3">
      <c r="A4" s="2" t="s">
        <v>270</v>
      </c>
    </row>
    <row r="5" spans="1:2" x14ac:dyDescent="0.3">
      <c r="A5" s="2" t="s">
        <v>297</v>
      </c>
    </row>
    <row r="6" spans="1:2" x14ac:dyDescent="0.3">
      <c r="A6" s="2" t="s">
        <v>347</v>
      </c>
    </row>
    <row r="21" customFormat="1" ht="12.6" customHeight="1" x14ac:dyDescent="0.3"/>
    <row r="22" customFormat="1" ht="12.6" customHeight="1" x14ac:dyDescent="0.3"/>
    <row r="23" customFormat="1" ht="12.6" customHeight="1" x14ac:dyDescent="0.3"/>
    <row r="24" customFormat="1" ht="12.6" customHeight="1" x14ac:dyDescent="0.3"/>
    <row r="25" customFormat="1" ht="12.6" customHeight="1" x14ac:dyDescent="0.3"/>
    <row r="26" customFormat="1" ht="12.6" customHeight="1" x14ac:dyDescent="0.3"/>
    <row r="27" customFormat="1" ht="12.6" customHeight="1" x14ac:dyDescent="0.3"/>
    <row r="28" customFormat="1" ht="12.6" customHeight="1" x14ac:dyDescent="0.3"/>
    <row r="29" customFormat="1" ht="12.6" customHeight="1" x14ac:dyDescent="0.3"/>
    <row r="30" customFormat="1" ht="12.6" customHeight="1" x14ac:dyDescent="0.3"/>
    <row r="31" customFormat="1" ht="12.6" customHeight="1" x14ac:dyDescent="0.3"/>
    <row r="32" customFormat="1" ht="12.6" customHeight="1" x14ac:dyDescent="0.3"/>
    <row r="33" customFormat="1" ht="12.6" customHeight="1" x14ac:dyDescent="0.3"/>
    <row r="34" customFormat="1" ht="12.6" customHeight="1" x14ac:dyDescent="0.3"/>
    <row r="35" customFormat="1" ht="12.6" customHeight="1" x14ac:dyDescent="0.3"/>
    <row r="36" customFormat="1" ht="12.6" customHeight="1" x14ac:dyDescent="0.3"/>
    <row r="37" customFormat="1" ht="12.6" customHeight="1" x14ac:dyDescent="0.3"/>
    <row r="38" customFormat="1" ht="12.6" customHeight="1" x14ac:dyDescent="0.3"/>
    <row r="39" customFormat="1" ht="12.6" customHeight="1" x14ac:dyDescent="0.3"/>
    <row r="40" customFormat="1" ht="12.6" customHeight="1" x14ac:dyDescent="0.3"/>
    <row r="41" customFormat="1" ht="12.6" customHeight="1" x14ac:dyDescent="0.3"/>
    <row r="42" customFormat="1" ht="12.6" customHeight="1" x14ac:dyDescent="0.3"/>
    <row r="43" customFormat="1" ht="12.6" customHeight="1" x14ac:dyDescent="0.3"/>
    <row r="44" customFormat="1" ht="12.6" customHeight="1" x14ac:dyDescent="0.3"/>
    <row r="45" customFormat="1" ht="12.6" customHeight="1" x14ac:dyDescent="0.3"/>
    <row r="46" customFormat="1" ht="12.6" customHeight="1" x14ac:dyDescent="0.3"/>
    <row r="47" customFormat="1" ht="12.6" customHeight="1" x14ac:dyDescent="0.3"/>
    <row r="48" customFormat="1" ht="12.6" customHeight="1" x14ac:dyDescent="0.3"/>
    <row r="49" customFormat="1" ht="12.6" customHeight="1" x14ac:dyDescent="0.3"/>
    <row r="50" customFormat="1" ht="12.6" customHeight="1" x14ac:dyDescent="0.3"/>
    <row r="51" customFormat="1" ht="12.6" customHeight="1" x14ac:dyDescent="0.3"/>
    <row r="52" customFormat="1" ht="12.6" customHeight="1" x14ac:dyDescent="0.3"/>
    <row r="53" customFormat="1" ht="12.6" customHeight="1" x14ac:dyDescent="0.3"/>
    <row r="54" customFormat="1" ht="12.6" customHeight="1" x14ac:dyDescent="0.3"/>
    <row r="55" customFormat="1" ht="12.6" customHeight="1" x14ac:dyDescent="0.3"/>
    <row r="56" customFormat="1" ht="12.6" customHeight="1" x14ac:dyDescent="0.3"/>
    <row r="57" customFormat="1" ht="12.6" customHeight="1" x14ac:dyDescent="0.3"/>
    <row r="58" customFormat="1" ht="12.6" customHeight="1" x14ac:dyDescent="0.3"/>
    <row r="59" customFormat="1" ht="12.6" customHeight="1" x14ac:dyDescent="0.3"/>
    <row r="60" customFormat="1" ht="12.6" customHeight="1" x14ac:dyDescent="0.3"/>
    <row r="61" customFormat="1" ht="12.6" customHeight="1" x14ac:dyDescent="0.3"/>
    <row r="62" customFormat="1" ht="12.6" customHeight="1" x14ac:dyDescent="0.3"/>
    <row r="63" customFormat="1" ht="12.6" customHeight="1" x14ac:dyDescent="0.3"/>
    <row r="64" customFormat="1" ht="12.6" customHeight="1" x14ac:dyDescent="0.3"/>
    <row r="65" customFormat="1" ht="12.6" customHeight="1" x14ac:dyDescent="0.3"/>
    <row r="66" customFormat="1" ht="12.6" customHeight="1" x14ac:dyDescent="0.3"/>
    <row r="67" customFormat="1" ht="12.6" customHeight="1" x14ac:dyDescent="0.3"/>
    <row r="68" customFormat="1" ht="12.6" customHeight="1" x14ac:dyDescent="0.3"/>
    <row r="69" customFormat="1" ht="12.6" customHeight="1" x14ac:dyDescent="0.3"/>
    <row r="70" customFormat="1" ht="12.6" customHeight="1" x14ac:dyDescent="0.3"/>
    <row r="71" customFormat="1" ht="12.6" customHeight="1" x14ac:dyDescent="0.3"/>
    <row r="72" customFormat="1" ht="12.6" customHeight="1" x14ac:dyDescent="0.3"/>
    <row r="73" customFormat="1" ht="12.6" customHeight="1" x14ac:dyDescent="0.3"/>
    <row r="74" customFormat="1" ht="12.6" customHeight="1" x14ac:dyDescent="0.3"/>
    <row r="75" customFormat="1" ht="12.6" customHeight="1" x14ac:dyDescent="0.3"/>
    <row r="76" customFormat="1" ht="12.6" customHeight="1" x14ac:dyDescent="0.3"/>
    <row r="77" customFormat="1" ht="12.6" customHeight="1" x14ac:dyDescent="0.3"/>
    <row r="78" customFormat="1" ht="12.6" customHeight="1" x14ac:dyDescent="0.3"/>
    <row r="79" customFormat="1" ht="12.6" customHeight="1" x14ac:dyDescent="0.3"/>
    <row r="80" customFormat="1" ht="12.6" customHeight="1" x14ac:dyDescent="0.3"/>
    <row r="81" customFormat="1" ht="12.6" customHeight="1" x14ac:dyDescent="0.3"/>
    <row r="82" customFormat="1" ht="12.6" customHeight="1" x14ac:dyDescent="0.3"/>
    <row r="83" customFormat="1" ht="12.6" customHeight="1" x14ac:dyDescent="0.3"/>
    <row r="84" customFormat="1" ht="12.6" customHeight="1" x14ac:dyDescent="0.3"/>
    <row r="85" customFormat="1" ht="12.6" customHeight="1" x14ac:dyDescent="0.3"/>
    <row r="86" customFormat="1" ht="12.6" customHeight="1" x14ac:dyDescent="0.3"/>
    <row r="87" customFormat="1" ht="12.6" customHeight="1" x14ac:dyDescent="0.3"/>
    <row r="88" customFormat="1" ht="12.6" customHeight="1" x14ac:dyDescent="0.3"/>
    <row r="89" customFormat="1" ht="12.6" customHeight="1" x14ac:dyDescent="0.3"/>
    <row r="90" customFormat="1" ht="12.6" customHeight="1" x14ac:dyDescent="0.3"/>
    <row r="91" customFormat="1" ht="12.6" customHeight="1" x14ac:dyDescent="0.3"/>
    <row r="92" customFormat="1" ht="12.6" customHeight="1" x14ac:dyDescent="0.3"/>
    <row r="93" customFormat="1" ht="12.6" customHeight="1" x14ac:dyDescent="0.3"/>
    <row r="94" customFormat="1" ht="12.6" customHeight="1" x14ac:dyDescent="0.3"/>
    <row r="95" customFormat="1" ht="12.6" customHeight="1" x14ac:dyDescent="0.3"/>
    <row r="96" customFormat="1" ht="12.6" customHeight="1" x14ac:dyDescent="0.3"/>
    <row r="97" customFormat="1" ht="12.6" customHeight="1" x14ac:dyDescent="0.3"/>
    <row r="98" customFormat="1" ht="12.6" customHeight="1" x14ac:dyDescent="0.3"/>
    <row r="99" customFormat="1" ht="12.6" customHeight="1" x14ac:dyDescent="0.3"/>
    <row r="100" customFormat="1" ht="12.6" customHeight="1" x14ac:dyDescent="0.3"/>
    <row r="101" customFormat="1" ht="12.6" customHeight="1" x14ac:dyDescent="0.3"/>
    <row r="102" customFormat="1" ht="12.6" customHeight="1" x14ac:dyDescent="0.3"/>
    <row r="103" customFormat="1" ht="12.6" customHeight="1" x14ac:dyDescent="0.3"/>
    <row r="104" customFormat="1" ht="12.6" customHeight="1" x14ac:dyDescent="0.3"/>
    <row r="105" customFormat="1" ht="12.6" customHeight="1" x14ac:dyDescent="0.3"/>
    <row r="106" customFormat="1" ht="12.6" customHeight="1" x14ac:dyDescent="0.3"/>
    <row r="107" customFormat="1" ht="12.6" customHeight="1" x14ac:dyDescent="0.3"/>
    <row r="108" customFormat="1" ht="12.6" customHeight="1" x14ac:dyDescent="0.3"/>
    <row r="109" customFormat="1" ht="12.6" customHeight="1" x14ac:dyDescent="0.3"/>
    <row r="110" customFormat="1" ht="12.6" customHeight="1" x14ac:dyDescent="0.3"/>
    <row r="111" customFormat="1" ht="12.6" customHeight="1" x14ac:dyDescent="0.3"/>
    <row r="112" customFormat="1" ht="12.6" customHeight="1" x14ac:dyDescent="0.3"/>
    <row r="113" customFormat="1" ht="12.6" customHeight="1" x14ac:dyDescent="0.3"/>
    <row r="114" customFormat="1" ht="12.6" customHeight="1" x14ac:dyDescent="0.3"/>
    <row r="115" customFormat="1" ht="12.6" customHeight="1" x14ac:dyDescent="0.3"/>
    <row r="116" customFormat="1" ht="12.6" customHeight="1" x14ac:dyDescent="0.3"/>
    <row r="117" customFormat="1" ht="12.6" customHeight="1" x14ac:dyDescent="0.3"/>
    <row r="118" customFormat="1" ht="12.6" customHeight="1" x14ac:dyDescent="0.3"/>
    <row r="119" customFormat="1" ht="12.6" customHeight="1" x14ac:dyDescent="0.3"/>
    <row r="120" customFormat="1" ht="12.6" customHeight="1" x14ac:dyDescent="0.3"/>
    <row r="121" customFormat="1" ht="12.6" customHeight="1" x14ac:dyDescent="0.3"/>
    <row r="122" customFormat="1" ht="12.6" customHeight="1" x14ac:dyDescent="0.3"/>
    <row r="123" customFormat="1" ht="12.6" customHeight="1" x14ac:dyDescent="0.3"/>
    <row r="124" customFormat="1" ht="12.6" customHeight="1" x14ac:dyDescent="0.3"/>
    <row r="125" customFormat="1" ht="12.6" customHeight="1" x14ac:dyDescent="0.3"/>
    <row r="126" customFormat="1" ht="12.6" customHeight="1" x14ac:dyDescent="0.3"/>
    <row r="127" customFormat="1" ht="12.6" customHeight="1" x14ac:dyDescent="0.3"/>
    <row r="128" customFormat="1" ht="12.6" customHeight="1" x14ac:dyDescent="0.3"/>
    <row r="129" customFormat="1" ht="12.6" customHeight="1" x14ac:dyDescent="0.3"/>
    <row r="130" customFormat="1" ht="12.6" customHeight="1" x14ac:dyDescent="0.3"/>
    <row r="131" customFormat="1" ht="12.6" customHeight="1" x14ac:dyDescent="0.3"/>
    <row r="132" customFormat="1" ht="12.6" customHeight="1" x14ac:dyDescent="0.3"/>
    <row r="133" customFormat="1" ht="12.6" customHeight="1" x14ac:dyDescent="0.3"/>
    <row r="134" customFormat="1" ht="12.6" customHeight="1" x14ac:dyDescent="0.3"/>
    <row r="135" customFormat="1" ht="12.6" customHeight="1" x14ac:dyDescent="0.3"/>
    <row r="136" customFormat="1" ht="12.6" customHeight="1" x14ac:dyDescent="0.3"/>
    <row r="137" customFormat="1" ht="12.6" customHeight="1" x14ac:dyDescent="0.3"/>
    <row r="138" customFormat="1" ht="12.6" customHeight="1" x14ac:dyDescent="0.3"/>
    <row r="139" customFormat="1" ht="12.6" customHeight="1" x14ac:dyDescent="0.3"/>
    <row r="140" customFormat="1" ht="12.6" customHeight="1" x14ac:dyDescent="0.3"/>
    <row r="141" customFormat="1" ht="12.6" customHeight="1" x14ac:dyDescent="0.3"/>
    <row r="142" customFormat="1" ht="12.6" customHeight="1" x14ac:dyDescent="0.3"/>
    <row r="143" customFormat="1" ht="12.6" customHeight="1" x14ac:dyDescent="0.3"/>
    <row r="144" customFormat="1" ht="12.6" customHeight="1" x14ac:dyDescent="0.3"/>
    <row r="145" customFormat="1" ht="12.6" customHeight="1" x14ac:dyDescent="0.3"/>
    <row r="146" customFormat="1" ht="12.6" customHeight="1" x14ac:dyDescent="0.3"/>
    <row r="147" customFormat="1" ht="12.6" customHeight="1" x14ac:dyDescent="0.3"/>
    <row r="148" customFormat="1" ht="12.6" customHeight="1" x14ac:dyDescent="0.3"/>
    <row r="149" customFormat="1" ht="12.6" customHeight="1" x14ac:dyDescent="0.3"/>
    <row r="150" customFormat="1" ht="12.6" customHeight="1" x14ac:dyDescent="0.3"/>
    <row r="151" customFormat="1" ht="12.6" customHeight="1" x14ac:dyDescent="0.3"/>
    <row r="152" customFormat="1" ht="12.6" customHeight="1" x14ac:dyDescent="0.3"/>
    <row r="153" customFormat="1" ht="12.6" customHeight="1" x14ac:dyDescent="0.3"/>
    <row r="154" customFormat="1" ht="12.6" customHeight="1" x14ac:dyDescent="0.3"/>
    <row r="155" customFormat="1" ht="12.6" customHeight="1" x14ac:dyDescent="0.3"/>
    <row r="156" customFormat="1" ht="12.6" customHeight="1" x14ac:dyDescent="0.3"/>
    <row r="157" customFormat="1" ht="12.6" customHeight="1" x14ac:dyDescent="0.3"/>
    <row r="158" customFormat="1" ht="12.6" customHeight="1" x14ac:dyDescent="0.3"/>
    <row r="159" customFormat="1" ht="12.6" customHeight="1" x14ac:dyDescent="0.3"/>
    <row r="160" customFormat="1" ht="12.6" customHeight="1" x14ac:dyDescent="0.3"/>
    <row r="161" customFormat="1" ht="12.6" customHeight="1" x14ac:dyDescent="0.3"/>
    <row r="162" customFormat="1" ht="12.6" customHeight="1" x14ac:dyDescent="0.3"/>
    <row r="163" customFormat="1" ht="12.6" customHeight="1" x14ac:dyDescent="0.3"/>
    <row r="164" customFormat="1" ht="12.6" customHeight="1" x14ac:dyDescent="0.3"/>
    <row r="165" customFormat="1" ht="12.6" customHeight="1" x14ac:dyDescent="0.3"/>
    <row r="166" customFormat="1" ht="12.6" customHeight="1" x14ac:dyDescent="0.3"/>
    <row r="167" customFormat="1" ht="12.6" customHeight="1" x14ac:dyDescent="0.3"/>
    <row r="168" customFormat="1" ht="12.6" customHeight="1" x14ac:dyDescent="0.3"/>
    <row r="169" customFormat="1" ht="12.6" customHeight="1" x14ac:dyDescent="0.3"/>
    <row r="170" customFormat="1" ht="12.6" customHeight="1" x14ac:dyDescent="0.3"/>
    <row r="171" customFormat="1" ht="12.6" customHeight="1" x14ac:dyDescent="0.3"/>
    <row r="172" customFormat="1" ht="12.6" customHeight="1" x14ac:dyDescent="0.3"/>
    <row r="173" customFormat="1" ht="12.6" customHeight="1" x14ac:dyDescent="0.3"/>
    <row r="174" customFormat="1" ht="12.6" customHeight="1" x14ac:dyDescent="0.3"/>
    <row r="175" customFormat="1" ht="12.6" customHeight="1" x14ac:dyDescent="0.3"/>
    <row r="176" customFormat="1" ht="12.6" customHeight="1" x14ac:dyDescent="0.3"/>
    <row r="177" customFormat="1" ht="12.6" customHeight="1" x14ac:dyDescent="0.3"/>
    <row r="178" customFormat="1" ht="12.6" customHeight="1" x14ac:dyDescent="0.3"/>
    <row r="179" customFormat="1" ht="12.6" customHeight="1" x14ac:dyDescent="0.3"/>
    <row r="180" customFormat="1" ht="12.6" customHeight="1" x14ac:dyDescent="0.3"/>
    <row r="181" customFormat="1" ht="12.6" customHeight="1" x14ac:dyDescent="0.3"/>
    <row r="182" customFormat="1" ht="12.6" customHeight="1" x14ac:dyDescent="0.3"/>
    <row r="183" customFormat="1" ht="12.6" customHeight="1" x14ac:dyDescent="0.3"/>
    <row r="184" customFormat="1" ht="12.6" customHeight="1" x14ac:dyDescent="0.3"/>
    <row r="185" customFormat="1" ht="12.6" customHeight="1" x14ac:dyDescent="0.3"/>
    <row r="186" customFormat="1" ht="12.6" customHeight="1" x14ac:dyDescent="0.3"/>
    <row r="187" customFormat="1" ht="12.6" customHeight="1" x14ac:dyDescent="0.3"/>
    <row r="188" customFormat="1" ht="12.6" customHeight="1" x14ac:dyDescent="0.3"/>
    <row r="189" customFormat="1" ht="12.6" customHeight="1" x14ac:dyDescent="0.3"/>
    <row r="190" customFormat="1" ht="12.6" customHeight="1" x14ac:dyDescent="0.3"/>
    <row r="191" customFormat="1" ht="12.6" customHeight="1" x14ac:dyDescent="0.3"/>
    <row r="192" customFormat="1" ht="12.6" customHeight="1" x14ac:dyDescent="0.3"/>
    <row r="193" customFormat="1" ht="12.6" customHeight="1" x14ac:dyDescent="0.3"/>
    <row r="194" customFormat="1" ht="12.6" customHeight="1" x14ac:dyDescent="0.3"/>
    <row r="195" customFormat="1" ht="12.6" customHeight="1" x14ac:dyDescent="0.3"/>
    <row r="196" customFormat="1" ht="12.6" customHeight="1" x14ac:dyDescent="0.3"/>
    <row r="197" customFormat="1" ht="12.6" customHeight="1" x14ac:dyDescent="0.3"/>
    <row r="198" customFormat="1" ht="12.6" customHeight="1" x14ac:dyDescent="0.3"/>
    <row r="199" customFormat="1" ht="12.6" customHeight="1" x14ac:dyDescent="0.3"/>
    <row r="200" customFormat="1" ht="12.6" customHeight="1" x14ac:dyDescent="0.3"/>
    <row r="201" customFormat="1" ht="12.6" customHeight="1" x14ac:dyDescent="0.3"/>
    <row r="202" customFormat="1" ht="12.6" customHeight="1" x14ac:dyDescent="0.3"/>
    <row r="203" customFormat="1" ht="12.6" customHeight="1" x14ac:dyDescent="0.3"/>
    <row r="204" customFormat="1" ht="12.6" customHeight="1" x14ac:dyDescent="0.3"/>
    <row r="205" customFormat="1" ht="12.6" customHeight="1" x14ac:dyDescent="0.3"/>
    <row r="206" customFormat="1" ht="12.6" customHeight="1" x14ac:dyDescent="0.3"/>
    <row r="207" customFormat="1" ht="12.6" customHeight="1" x14ac:dyDescent="0.3"/>
    <row r="208" customFormat="1" ht="12.6" customHeight="1" x14ac:dyDescent="0.3"/>
    <row r="209" customFormat="1" ht="12.6" customHeight="1" x14ac:dyDescent="0.3"/>
    <row r="210" customFormat="1" ht="12.6" customHeight="1" x14ac:dyDescent="0.3"/>
    <row r="211" customFormat="1" ht="12.6" customHeight="1" x14ac:dyDescent="0.3"/>
    <row r="212" customFormat="1" ht="12.6" customHeight="1" x14ac:dyDescent="0.3"/>
    <row r="213" customFormat="1" ht="12.6" customHeight="1" x14ac:dyDescent="0.3"/>
    <row r="214" customFormat="1" ht="12.6" customHeight="1" x14ac:dyDescent="0.3"/>
    <row r="215" customFormat="1" ht="12.6" customHeight="1" x14ac:dyDescent="0.3"/>
    <row r="216" customFormat="1" ht="12.6" customHeight="1" x14ac:dyDescent="0.3"/>
    <row r="217" customFormat="1" ht="12.6" customHeight="1" x14ac:dyDescent="0.3"/>
    <row r="218" customFormat="1" ht="12.6" customHeight="1" x14ac:dyDescent="0.3"/>
    <row r="219" customFormat="1" ht="12.6" customHeight="1" x14ac:dyDescent="0.3"/>
    <row r="220" customFormat="1" ht="12.6" customHeight="1" x14ac:dyDescent="0.3"/>
    <row r="221" customFormat="1" ht="12.6" customHeight="1" x14ac:dyDescent="0.3"/>
    <row r="222" customFormat="1" ht="12.6" customHeight="1" x14ac:dyDescent="0.3"/>
    <row r="223" customFormat="1" ht="12.6" customHeight="1" x14ac:dyDescent="0.3"/>
    <row r="224" customFormat="1" ht="12.6" customHeight="1" x14ac:dyDescent="0.3"/>
    <row r="225" customFormat="1" ht="12.6" customHeight="1" x14ac:dyDescent="0.3"/>
    <row r="226" customFormat="1" ht="12.6" customHeight="1" x14ac:dyDescent="0.3"/>
    <row r="227" customFormat="1" ht="12.6" customHeight="1" x14ac:dyDescent="0.3"/>
    <row r="228" customFormat="1" ht="12.6" customHeight="1" x14ac:dyDescent="0.3"/>
    <row r="229" customFormat="1" ht="12.6" customHeight="1" x14ac:dyDescent="0.3"/>
    <row r="230" customFormat="1" ht="12.6" customHeight="1" x14ac:dyDescent="0.3"/>
    <row r="231" customFormat="1" ht="12.6" customHeight="1" x14ac:dyDescent="0.3"/>
    <row r="232" customFormat="1" ht="12.6" customHeight="1" x14ac:dyDescent="0.3"/>
    <row r="233" customFormat="1" ht="12.6" customHeight="1" x14ac:dyDescent="0.3"/>
    <row r="234" customFormat="1" ht="12.6" customHeight="1" x14ac:dyDescent="0.3"/>
    <row r="235" customFormat="1" ht="12.6" customHeight="1" x14ac:dyDescent="0.3"/>
    <row r="236" customFormat="1" ht="12.6" customHeight="1" x14ac:dyDescent="0.3"/>
    <row r="237" customFormat="1" ht="12.6" customHeight="1" x14ac:dyDescent="0.3"/>
    <row r="238" customFormat="1" ht="12.6" customHeight="1" x14ac:dyDescent="0.3"/>
    <row r="239" customFormat="1" ht="12.6" customHeight="1" x14ac:dyDescent="0.3"/>
    <row r="240" customFormat="1" ht="12.6" customHeight="1" x14ac:dyDescent="0.3"/>
    <row r="241" customFormat="1" ht="12.6" customHeight="1" x14ac:dyDescent="0.3"/>
    <row r="242" customFormat="1" ht="12.6" customHeight="1" x14ac:dyDescent="0.3"/>
    <row r="243" customFormat="1" ht="12.6" customHeight="1" x14ac:dyDescent="0.3"/>
    <row r="244" customFormat="1" ht="12.6" customHeight="1" x14ac:dyDescent="0.3"/>
    <row r="245" customFormat="1" ht="12.6" customHeight="1" x14ac:dyDescent="0.3"/>
    <row r="246" customFormat="1" ht="12.6" customHeight="1" x14ac:dyDescent="0.3"/>
    <row r="247" customFormat="1" ht="12.6" customHeight="1" x14ac:dyDescent="0.3"/>
    <row r="248" customFormat="1" ht="12.6" customHeight="1" x14ac:dyDescent="0.3"/>
    <row r="249" customFormat="1" ht="12.6" customHeight="1" x14ac:dyDescent="0.3"/>
    <row r="250" customFormat="1" ht="12.6" customHeight="1" x14ac:dyDescent="0.3"/>
    <row r="251" customFormat="1" ht="12.6" customHeight="1" x14ac:dyDescent="0.3"/>
    <row r="252" customFormat="1" ht="12.6" customHeight="1" x14ac:dyDescent="0.3"/>
    <row r="253" customFormat="1" ht="12.6" customHeight="1" x14ac:dyDescent="0.3"/>
    <row r="254" customFormat="1" ht="12.6" customHeight="1" x14ac:dyDescent="0.3"/>
    <row r="255" customFormat="1" ht="12.6" customHeight="1" x14ac:dyDescent="0.3"/>
    <row r="256" customFormat="1" ht="12.6" customHeight="1" x14ac:dyDescent="0.3"/>
    <row r="257" customFormat="1" ht="12.6" customHeight="1" x14ac:dyDescent="0.3"/>
    <row r="258" customFormat="1" ht="12.6" customHeight="1" x14ac:dyDescent="0.3"/>
    <row r="259" customFormat="1" ht="12.6" customHeight="1" x14ac:dyDescent="0.3"/>
    <row r="260" customFormat="1" ht="12.6" customHeight="1" x14ac:dyDescent="0.3"/>
    <row r="261" customFormat="1" ht="12.6" customHeight="1" x14ac:dyDescent="0.3"/>
    <row r="262" customFormat="1" ht="12.6" customHeight="1" x14ac:dyDescent="0.3"/>
    <row r="263" customFormat="1" ht="12.6" customHeight="1" x14ac:dyDescent="0.3"/>
    <row r="264" customFormat="1" ht="12.6" customHeight="1" x14ac:dyDescent="0.3"/>
    <row r="265" customFormat="1" ht="12.6" customHeight="1" x14ac:dyDescent="0.3"/>
    <row r="266" customFormat="1" ht="12.6" customHeight="1" x14ac:dyDescent="0.3"/>
    <row r="267" customFormat="1" ht="12.6" customHeight="1" x14ac:dyDescent="0.3"/>
    <row r="268" customFormat="1" ht="12.6" customHeight="1" x14ac:dyDescent="0.3"/>
    <row r="269" customFormat="1" ht="12.6" customHeight="1" x14ac:dyDescent="0.3"/>
    <row r="270" customFormat="1" ht="12.6" customHeight="1" x14ac:dyDescent="0.3"/>
    <row r="271" customFormat="1" ht="12.6" customHeight="1" x14ac:dyDescent="0.3"/>
    <row r="272" customFormat="1" ht="12.6" customHeight="1" x14ac:dyDescent="0.3"/>
    <row r="273" customFormat="1" ht="12.6" customHeight="1" x14ac:dyDescent="0.3"/>
    <row r="274" customFormat="1" ht="12.6" customHeight="1" x14ac:dyDescent="0.3"/>
    <row r="275" customFormat="1" ht="12.6" customHeight="1" x14ac:dyDescent="0.3"/>
    <row r="276" customFormat="1" ht="12.6" customHeight="1" x14ac:dyDescent="0.3"/>
    <row r="277" customFormat="1" ht="12.6" customHeight="1" x14ac:dyDescent="0.3"/>
    <row r="278" customFormat="1" ht="12.6" customHeight="1" x14ac:dyDescent="0.3"/>
    <row r="279" customFormat="1" ht="12.6" customHeight="1" x14ac:dyDescent="0.3"/>
    <row r="280" customFormat="1" ht="12.6" customHeight="1" x14ac:dyDescent="0.3"/>
    <row r="281" customFormat="1" ht="12.6" customHeight="1" x14ac:dyDescent="0.3"/>
    <row r="282" customFormat="1" ht="12.6" customHeight="1" x14ac:dyDescent="0.3"/>
    <row r="283" customFormat="1" ht="12.6" customHeight="1" x14ac:dyDescent="0.3"/>
    <row r="284" customFormat="1" ht="12.6" customHeight="1" x14ac:dyDescent="0.3"/>
    <row r="285" customFormat="1" ht="12.6" customHeight="1" x14ac:dyDescent="0.3"/>
    <row r="286" customFormat="1" ht="12.6" customHeight="1" x14ac:dyDescent="0.3"/>
    <row r="287" customFormat="1" ht="12.6" customHeight="1" x14ac:dyDescent="0.3"/>
    <row r="288" customFormat="1" ht="12.6" customHeight="1" x14ac:dyDescent="0.3"/>
    <row r="289" customFormat="1" ht="12.6" customHeight="1" x14ac:dyDescent="0.3"/>
    <row r="290" customFormat="1" ht="12.6" customHeight="1" x14ac:dyDescent="0.3"/>
    <row r="291" customFormat="1" ht="12.6" customHeight="1" x14ac:dyDescent="0.3"/>
    <row r="292" customFormat="1" ht="12.6" customHeight="1" x14ac:dyDescent="0.3"/>
    <row r="293" customFormat="1" ht="12.6" customHeight="1" x14ac:dyDescent="0.3"/>
    <row r="294" customFormat="1" ht="12.6" customHeight="1" x14ac:dyDescent="0.3"/>
    <row r="295" customFormat="1" ht="12.6" customHeight="1" x14ac:dyDescent="0.3"/>
    <row r="296" customFormat="1" ht="12.6" customHeight="1" x14ac:dyDescent="0.3"/>
    <row r="297" customFormat="1" ht="12.6" customHeight="1" x14ac:dyDescent="0.3"/>
    <row r="298" customFormat="1" ht="12.6" customHeight="1" x14ac:dyDescent="0.3"/>
    <row r="299" customFormat="1" ht="12.6" customHeight="1" x14ac:dyDescent="0.3"/>
    <row r="300" customFormat="1" ht="12.6" customHeight="1" x14ac:dyDescent="0.3"/>
    <row r="301" customFormat="1" ht="12.6" customHeight="1" x14ac:dyDescent="0.3"/>
    <row r="302" customFormat="1" ht="12.6" customHeight="1" x14ac:dyDescent="0.3"/>
    <row r="303" customFormat="1" ht="12.6" customHeight="1" x14ac:dyDescent="0.3"/>
    <row r="304" customFormat="1" ht="12.6" customHeight="1" x14ac:dyDescent="0.3"/>
    <row r="305" customFormat="1" ht="12.6" customHeight="1" x14ac:dyDescent="0.3"/>
    <row r="306" customFormat="1" ht="12.6" customHeight="1" x14ac:dyDescent="0.3"/>
    <row r="307" customFormat="1" ht="12.6" customHeight="1" x14ac:dyDescent="0.3"/>
    <row r="308" customFormat="1" ht="12.6" customHeight="1" x14ac:dyDescent="0.3"/>
    <row r="309" customFormat="1" ht="12.6" customHeight="1" x14ac:dyDescent="0.3"/>
    <row r="310" customFormat="1" ht="12.6" customHeight="1" x14ac:dyDescent="0.3"/>
    <row r="311" customFormat="1" ht="12.6" customHeight="1" x14ac:dyDescent="0.3"/>
    <row r="312" customFormat="1" ht="12.6" customHeight="1" x14ac:dyDescent="0.3"/>
    <row r="313" customFormat="1" ht="12.6" customHeight="1" x14ac:dyDescent="0.3"/>
    <row r="314" customFormat="1" ht="12.6" customHeight="1" x14ac:dyDescent="0.3"/>
    <row r="315" customFormat="1" ht="12.6" customHeight="1" x14ac:dyDescent="0.3"/>
    <row r="316" customFormat="1" ht="12.6" customHeight="1" x14ac:dyDescent="0.3"/>
    <row r="317" customFormat="1" ht="12.6" customHeight="1" x14ac:dyDescent="0.3"/>
    <row r="318" customFormat="1" ht="12.6" customHeight="1" x14ac:dyDescent="0.3"/>
    <row r="319" customFormat="1" ht="12.6" customHeight="1" x14ac:dyDescent="0.3"/>
    <row r="320" customFormat="1" ht="12.6" customHeight="1" x14ac:dyDescent="0.3"/>
    <row r="321" customFormat="1" ht="12.6" customHeight="1" x14ac:dyDescent="0.3"/>
    <row r="322" customFormat="1" ht="12.6" customHeight="1" x14ac:dyDescent="0.3"/>
    <row r="323" customFormat="1" ht="12.6" customHeight="1" x14ac:dyDescent="0.3"/>
    <row r="324" customFormat="1" ht="12.6" customHeight="1" x14ac:dyDescent="0.3"/>
    <row r="325" customFormat="1" ht="12.6" customHeight="1" x14ac:dyDescent="0.3"/>
    <row r="326" customFormat="1" ht="12.6" customHeight="1" x14ac:dyDescent="0.3"/>
    <row r="327" customFormat="1" ht="12.6" customHeight="1" x14ac:dyDescent="0.3"/>
    <row r="328" customFormat="1" ht="12.6" customHeight="1" x14ac:dyDescent="0.3"/>
    <row r="329" customFormat="1" ht="12.6" customHeight="1" x14ac:dyDescent="0.3"/>
    <row r="330" customFormat="1" ht="12.6" customHeight="1" x14ac:dyDescent="0.3"/>
    <row r="331" customFormat="1" ht="12.6" customHeight="1" x14ac:dyDescent="0.3"/>
    <row r="332" customFormat="1" ht="12.6" customHeight="1" x14ac:dyDescent="0.3"/>
    <row r="333" customFormat="1" ht="12.6" customHeight="1" x14ac:dyDescent="0.3"/>
    <row r="334" customFormat="1" ht="12.6" customHeight="1" x14ac:dyDescent="0.3"/>
    <row r="335" customFormat="1" ht="12.6" customHeight="1" x14ac:dyDescent="0.3"/>
    <row r="336" customFormat="1" ht="12.6" customHeight="1" x14ac:dyDescent="0.3"/>
    <row r="337" customFormat="1" ht="12.6" customHeight="1" x14ac:dyDescent="0.3"/>
    <row r="338" customFormat="1" ht="12.6" customHeight="1" x14ac:dyDescent="0.3"/>
    <row r="339" customFormat="1" ht="12.6" customHeight="1" x14ac:dyDescent="0.3"/>
    <row r="340" customFormat="1" ht="12.6" customHeight="1" x14ac:dyDescent="0.3"/>
    <row r="341" customFormat="1" ht="12.6" customHeight="1" x14ac:dyDescent="0.3"/>
    <row r="342" customFormat="1" ht="12.6" customHeight="1" x14ac:dyDescent="0.3"/>
    <row r="343" customFormat="1" ht="12.6" customHeight="1" x14ac:dyDescent="0.3"/>
    <row r="344" customFormat="1" ht="12.6" customHeight="1" x14ac:dyDescent="0.3"/>
    <row r="345" customFormat="1" ht="12.6" customHeight="1" x14ac:dyDescent="0.3"/>
    <row r="346" customFormat="1" ht="12.6" customHeight="1" x14ac:dyDescent="0.3"/>
    <row r="347" customFormat="1" ht="12.6" customHeight="1" x14ac:dyDescent="0.3"/>
    <row r="348" customFormat="1" ht="12.6" customHeight="1" x14ac:dyDescent="0.3"/>
    <row r="349" customFormat="1" ht="12.6" customHeight="1" x14ac:dyDescent="0.3"/>
    <row r="350" customFormat="1" ht="12.6" customHeight="1" x14ac:dyDescent="0.3"/>
    <row r="351" customFormat="1" ht="12.6" customHeight="1" x14ac:dyDescent="0.3"/>
    <row r="352" customFormat="1" ht="12.6" customHeight="1" x14ac:dyDescent="0.3"/>
    <row r="353" customFormat="1" ht="12.6" customHeight="1" x14ac:dyDescent="0.3"/>
    <row r="354" customFormat="1" ht="12.6" customHeight="1" x14ac:dyDescent="0.3"/>
    <row r="355" customFormat="1" ht="12.6" customHeight="1" x14ac:dyDescent="0.3"/>
    <row r="356" customFormat="1" ht="12.6" customHeight="1" x14ac:dyDescent="0.3"/>
    <row r="357" customFormat="1" ht="12.6" customHeight="1" x14ac:dyDescent="0.3"/>
    <row r="358" customFormat="1" ht="12.6" customHeight="1" x14ac:dyDescent="0.3"/>
    <row r="359" customFormat="1" ht="12.6" customHeight="1" x14ac:dyDescent="0.3"/>
    <row r="360" customFormat="1" ht="12.6" customHeight="1" x14ac:dyDescent="0.3"/>
    <row r="361" customFormat="1" ht="12.6" customHeight="1" x14ac:dyDescent="0.3"/>
    <row r="362" customFormat="1" ht="12.6" customHeight="1" x14ac:dyDescent="0.3"/>
    <row r="363" customFormat="1" ht="12.6" customHeight="1" x14ac:dyDescent="0.3"/>
    <row r="364" customFormat="1" ht="12.6" customHeight="1" x14ac:dyDescent="0.3"/>
    <row r="365" customFormat="1" ht="12.6" customHeight="1" x14ac:dyDescent="0.3"/>
    <row r="366" customFormat="1" ht="12.6" customHeight="1" x14ac:dyDescent="0.3"/>
    <row r="367" customFormat="1" ht="12.6" customHeight="1" x14ac:dyDescent="0.3"/>
    <row r="368" customFormat="1" ht="12.6" customHeight="1" x14ac:dyDescent="0.3"/>
    <row r="369" customFormat="1" ht="12.6" customHeight="1" x14ac:dyDescent="0.3"/>
    <row r="370" customFormat="1" ht="12.6" customHeight="1" x14ac:dyDescent="0.3"/>
    <row r="371" customFormat="1" ht="12.6" customHeight="1" x14ac:dyDescent="0.3"/>
    <row r="372" customFormat="1" ht="12.6" customHeight="1" x14ac:dyDescent="0.3"/>
    <row r="373" customFormat="1" ht="12.6" customHeight="1" x14ac:dyDescent="0.3"/>
    <row r="374" customFormat="1" ht="12.6" customHeight="1" x14ac:dyDescent="0.3"/>
    <row r="375" customFormat="1" ht="12.6" customHeight="1" x14ac:dyDescent="0.3"/>
    <row r="376" customFormat="1" ht="12.6" customHeight="1" x14ac:dyDescent="0.3"/>
    <row r="377" customFormat="1" ht="12.6" customHeight="1" x14ac:dyDescent="0.3"/>
    <row r="378" customFormat="1" ht="12.6" customHeight="1" x14ac:dyDescent="0.3"/>
    <row r="379" customFormat="1" ht="12.6" customHeight="1" x14ac:dyDescent="0.3"/>
    <row r="380" customFormat="1" ht="12.6" customHeight="1" x14ac:dyDescent="0.3"/>
    <row r="381" customFormat="1" ht="12.6" customHeight="1" x14ac:dyDescent="0.3"/>
    <row r="382" customFormat="1" ht="12.6" customHeight="1" x14ac:dyDescent="0.3"/>
    <row r="383" customFormat="1" ht="12.6" customHeight="1" x14ac:dyDescent="0.3"/>
    <row r="384" customFormat="1" ht="12.6" customHeight="1" x14ac:dyDescent="0.3"/>
    <row r="385" customFormat="1" ht="12.6" customHeight="1" x14ac:dyDescent="0.3"/>
    <row r="386" customFormat="1" ht="12.6" customHeight="1" x14ac:dyDescent="0.3"/>
    <row r="387" customFormat="1" ht="12.6" customHeight="1" x14ac:dyDescent="0.3"/>
    <row r="388" customFormat="1" ht="12.6" customHeight="1" x14ac:dyDescent="0.3"/>
    <row r="389" customFormat="1" ht="12.6" customHeight="1" x14ac:dyDescent="0.3"/>
    <row r="390" customFormat="1" ht="12.6" customHeight="1" x14ac:dyDescent="0.3"/>
    <row r="391" customFormat="1" ht="12.6" customHeight="1" x14ac:dyDescent="0.3"/>
    <row r="392" customFormat="1" ht="12.6" customHeight="1" x14ac:dyDescent="0.3"/>
    <row r="393" customFormat="1" ht="12.6" customHeight="1" x14ac:dyDescent="0.3"/>
    <row r="394" customFormat="1" ht="12.6" customHeight="1" x14ac:dyDescent="0.3"/>
    <row r="395" customFormat="1" ht="12.6" customHeight="1" x14ac:dyDescent="0.3"/>
    <row r="396" customFormat="1" ht="12.6" customHeight="1" x14ac:dyDescent="0.3"/>
    <row r="397" customFormat="1" ht="12.6" customHeight="1" x14ac:dyDescent="0.3"/>
    <row r="398" customFormat="1" ht="12.6" customHeight="1" x14ac:dyDescent="0.3"/>
    <row r="399" customFormat="1" ht="12.6" customHeight="1" x14ac:dyDescent="0.3"/>
    <row r="400" customFormat="1" ht="12.6" customHeight="1" x14ac:dyDescent="0.3"/>
    <row r="401" customFormat="1" ht="12.6" customHeight="1" x14ac:dyDescent="0.3"/>
    <row r="402" customFormat="1" ht="12.6" customHeight="1" x14ac:dyDescent="0.3"/>
    <row r="403" customFormat="1" ht="12.6" customHeight="1" x14ac:dyDescent="0.3"/>
    <row r="404" customFormat="1" ht="12.6" customHeight="1" x14ac:dyDescent="0.3"/>
    <row r="405" customFormat="1" ht="12.6" customHeight="1" x14ac:dyDescent="0.3"/>
    <row r="406" customFormat="1" ht="12.6" customHeight="1" x14ac:dyDescent="0.3"/>
    <row r="407" customFormat="1" ht="12.6" customHeight="1" x14ac:dyDescent="0.3"/>
    <row r="408" customFormat="1" ht="12.6" customHeight="1" x14ac:dyDescent="0.3"/>
    <row r="409" customFormat="1" ht="12.6" customHeight="1" x14ac:dyDescent="0.3"/>
    <row r="410" customFormat="1" ht="12.6" customHeight="1" x14ac:dyDescent="0.3"/>
    <row r="411" customFormat="1" ht="12.6" customHeight="1" x14ac:dyDescent="0.3"/>
    <row r="412" customFormat="1" ht="12.6" customHeight="1" x14ac:dyDescent="0.3"/>
    <row r="413" customFormat="1" ht="12.6" customHeight="1" x14ac:dyDescent="0.3"/>
    <row r="414" customFormat="1" ht="12.6" customHeight="1" x14ac:dyDescent="0.3"/>
    <row r="415" customFormat="1" ht="12.6" customHeight="1" x14ac:dyDescent="0.3"/>
    <row r="416" customFormat="1" ht="12.6" customHeight="1" x14ac:dyDescent="0.3"/>
    <row r="417" customFormat="1" ht="12.6" customHeight="1" x14ac:dyDescent="0.3"/>
    <row r="418" customFormat="1" ht="12.6" customHeight="1" x14ac:dyDescent="0.3"/>
    <row r="419" customFormat="1" ht="12.6" customHeight="1" x14ac:dyDescent="0.3"/>
    <row r="420" customFormat="1" ht="12.6" customHeight="1" x14ac:dyDescent="0.3"/>
    <row r="421" customFormat="1" ht="12.6" customHeight="1" x14ac:dyDescent="0.3"/>
    <row r="422" customFormat="1" ht="12.6" customHeight="1" x14ac:dyDescent="0.3"/>
    <row r="423" customFormat="1" ht="12.6" customHeight="1" x14ac:dyDescent="0.3"/>
    <row r="424" customFormat="1" ht="12.6" customHeight="1" x14ac:dyDescent="0.3"/>
    <row r="425" customFormat="1" ht="12.6" customHeight="1" x14ac:dyDescent="0.3"/>
    <row r="426" customFormat="1" ht="12.6" customHeight="1" x14ac:dyDescent="0.3"/>
    <row r="427" customFormat="1" ht="12.6" customHeight="1" x14ac:dyDescent="0.3"/>
    <row r="428" customFormat="1" ht="12.6" customHeight="1" x14ac:dyDescent="0.3"/>
    <row r="429" customFormat="1" ht="12.6" customHeight="1" x14ac:dyDescent="0.3"/>
    <row r="430" customFormat="1" ht="12.6" customHeight="1" x14ac:dyDescent="0.3"/>
    <row r="431" customFormat="1" ht="12.6" customHeight="1" x14ac:dyDescent="0.3"/>
    <row r="432" customFormat="1" ht="12.6" customHeight="1" x14ac:dyDescent="0.3"/>
    <row r="433" customFormat="1" ht="12.6" customHeight="1" x14ac:dyDescent="0.3"/>
    <row r="434" customFormat="1" ht="12.6" customHeight="1" x14ac:dyDescent="0.3"/>
    <row r="435" customFormat="1" ht="12.6" customHeight="1" x14ac:dyDescent="0.3"/>
    <row r="436" customFormat="1" ht="12.6" customHeight="1" x14ac:dyDescent="0.3"/>
    <row r="437" customFormat="1" ht="12.6" customHeight="1" x14ac:dyDescent="0.3"/>
    <row r="438" customFormat="1" ht="12.6" customHeight="1" x14ac:dyDescent="0.3"/>
    <row r="439" customFormat="1" ht="12.6" customHeight="1" x14ac:dyDescent="0.3"/>
    <row r="440" customFormat="1" ht="12.6" customHeight="1" x14ac:dyDescent="0.3"/>
    <row r="441" customFormat="1" ht="12.6" customHeight="1" x14ac:dyDescent="0.3"/>
    <row r="442" customFormat="1" ht="12.6" customHeight="1" x14ac:dyDescent="0.3"/>
    <row r="443" customFormat="1" ht="12.6" customHeight="1" x14ac:dyDescent="0.3"/>
    <row r="444" customFormat="1" ht="12.6" customHeight="1" x14ac:dyDescent="0.3"/>
    <row r="445" customFormat="1" ht="12.6" customHeight="1" x14ac:dyDescent="0.3"/>
    <row r="446" customFormat="1" ht="12.6" customHeight="1" x14ac:dyDescent="0.3"/>
    <row r="447" customFormat="1" ht="12.6" customHeight="1" x14ac:dyDescent="0.3"/>
    <row r="448" customFormat="1" ht="12.6" customHeight="1" x14ac:dyDescent="0.3"/>
    <row r="449" customFormat="1" ht="12.6" customHeight="1" x14ac:dyDescent="0.3"/>
    <row r="450" customFormat="1" ht="12.6" customHeight="1" x14ac:dyDescent="0.3"/>
    <row r="451" customFormat="1" ht="12.6" customHeight="1" x14ac:dyDescent="0.3"/>
    <row r="452" customFormat="1" ht="12.6" customHeight="1" x14ac:dyDescent="0.3"/>
    <row r="453" customFormat="1" ht="12.6" customHeight="1" x14ac:dyDescent="0.3"/>
    <row r="454" customFormat="1" ht="12.6" customHeight="1" x14ac:dyDescent="0.3"/>
    <row r="455" customFormat="1" ht="12.6" customHeight="1" x14ac:dyDescent="0.3"/>
    <row r="456" customFormat="1" ht="12.6" customHeight="1" x14ac:dyDescent="0.3"/>
    <row r="457" customFormat="1" ht="12.6" customHeight="1" x14ac:dyDescent="0.3"/>
    <row r="458" customFormat="1" ht="12.6" customHeight="1" x14ac:dyDescent="0.3"/>
    <row r="459" customFormat="1" ht="12.6" customHeight="1" x14ac:dyDescent="0.3"/>
    <row r="460" customFormat="1" ht="12.6" customHeight="1" x14ac:dyDescent="0.3"/>
    <row r="461" customFormat="1" ht="12.6" customHeight="1" x14ac:dyDescent="0.3"/>
    <row r="462" customFormat="1" ht="12.6" customHeight="1" x14ac:dyDescent="0.3"/>
    <row r="463" customFormat="1" ht="12.6" customHeight="1" x14ac:dyDescent="0.3"/>
    <row r="464" customFormat="1" ht="12.6" customHeight="1" x14ac:dyDescent="0.3"/>
    <row r="465" customFormat="1" ht="12.6" customHeight="1" x14ac:dyDescent="0.3"/>
    <row r="466" customFormat="1" ht="12.6" customHeight="1" x14ac:dyDescent="0.3"/>
    <row r="467" customFormat="1" ht="12.6" customHeight="1" x14ac:dyDescent="0.3"/>
    <row r="468" customFormat="1" ht="12.6" customHeight="1" x14ac:dyDescent="0.3"/>
    <row r="469" customFormat="1" ht="12.6" customHeight="1" x14ac:dyDescent="0.3"/>
    <row r="470" customFormat="1" ht="12.6" customHeight="1" x14ac:dyDescent="0.3"/>
    <row r="471" customFormat="1" ht="12.6" customHeight="1" x14ac:dyDescent="0.3"/>
    <row r="472" customFormat="1" ht="12.6" customHeight="1" x14ac:dyDescent="0.3"/>
    <row r="473" customFormat="1" ht="12.6" customHeight="1" x14ac:dyDescent="0.3"/>
    <row r="474" customFormat="1" ht="12.6" customHeight="1" x14ac:dyDescent="0.3"/>
    <row r="475" customFormat="1" ht="12.6" customHeight="1" x14ac:dyDescent="0.3"/>
    <row r="476" customFormat="1" ht="12.6" customHeight="1" x14ac:dyDescent="0.3"/>
    <row r="477" customFormat="1" ht="12.6" customHeight="1" x14ac:dyDescent="0.3"/>
    <row r="478" customFormat="1" ht="12.6" customHeight="1" x14ac:dyDescent="0.3"/>
    <row r="479" customFormat="1" ht="12.6" customHeight="1" x14ac:dyDescent="0.3"/>
    <row r="480" customFormat="1" ht="12.6" customHeight="1" x14ac:dyDescent="0.3"/>
    <row r="481" customFormat="1" ht="12.6" customHeight="1" x14ac:dyDescent="0.3"/>
    <row r="482" customFormat="1" ht="12.6" customHeight="1" x14ac:dyDescent="0.3"/>
    <row r="483" customFormat="1" ht="12.6" customHeight="1" x14ac:dyDescent="0.3"/>
    <row r="484" customFormat="1" ht="12.6" customHeight="1" x14ac:dyDescent="0.3"/>
    <row r="485" customFormat="1" ht="12.6" customHeight="1" x14ac:dyDescent="0.3"/>
    <row r="486" customFormat="1" ht="12.6" customHeight="1" x14ac:dyDescent="0.3"/>
    <row r="487" customFormat="1" ht="12.6" customHeight="1" x14ac:dyDescent="0.3"/>
    <row r="488" customFormat="1" ht="12.6" customHeight="1" x14ac:dyDescent="0.3"/>
    <row r="489" customFormat="1" ht="12.6" customHeight="1" x14ac:dyDescent="0.3"/>
    <row r="490" customFormat="1" ht="12.6" customHeight="1" x14ac:dyDescent="0.3"/>
    <row r="491" customFormat="1" ht="12.6" customHeight="1" x14ac:dyDescent="0.3"/>
    <row r="492" customFormat="1" ht="12.6" customHeight="1" x14ac:dyDescent="0.3"/>
    <row r="493" customFormat="1" ht="12.6" customHeight="1" x14ac:dyDescent="0.3"/>
    <row r="494" customFormat="1" ht="12.6" customHeight="1" x14ac:dyDescent="0.3"/>
    <row r="495" customFormat="1" ht="12.6" customHeight="1" x14ac:dyDescent="0.3"/>
    <row r="496" customFormat="1" ht="12.6" customHeight="1" x14ac:dyDescent="0.3"/>
    <row r="497" customFormat="1" ht="12.6" customHeight="1" x14ac:dyDescent="0.3"/>
    <row r="498" customFormat="1" ht="12.6" customHeight="1" x14ac:dyDescent="0.3"/>
    <row r="499" customFormat="1" ht="12.6" customHeight="1" x14ac:dyDescent="0.3"/>
    <row r="500" customFormat="1" ht="12.6" customHeight="1" x14ac:dyDescent="0.3"/>
    <row r="501" customFormat="1" ht="12.6" customHeight="1" x14ac:dyDescent="0.3"/>
    <row r="502" customFormat="1" ht="12.6" customHeight="1" x14ac:dyDescent="0.3"/>
    <row r="503" customFormat="1" ht="12.6" customHeight="1" x14ac:dyDescent="0.3"/>
    <row r="504" customFormat="1" ht="12.6" customHeight="1" x14ac:dyDescent="0.3"/>
    <row r="505" customFormat="1" ht="12.6" customHeight="1" x14ac:dyDescent="0.3"/>
    <row r="506" customFormat="1" ht="12.6" customHeight="1" x14ac:dyDescent="0.3"/>
    <row r="507" customFormat="1" ht="12.6" customHeight="1" x14ac:dyDescent="0.3"/>
    <row r="508" customFormat="1" ht="12.6" customHeight="1" x14ac:dyDescent="0.3"/>
    <row r="509" customFormat="1" ht="12.6" customHeight="1" x14ac:dyDescent="0.3"/>
    <row r="510" customFormat="1" ht="12.6" customHeight="1" x14ac:dyDescent="0.3"/>
    <row r="511" customFormat="1" ht="12.6" customHeight="1" x14ac:dyDescent="0.3"/>
    <row r="512" customFormat="1" ht="12.6" customHeight="1" x14ac:dyDescent="0.3"/>
    <row r="513" customFormat="1" ht="12.6" customHeight="1" x14ac:dyDescent="0.3"/>
    <row r="514" customFormat="1" ht="12.6" customHeight="1" x14ac:dyDescent="0.3"/>
    <row r="515" customFormat="1" ht="12.6" customHeight="1" x14ac:dyDescent="0.3"/>
    <row r="516" customFormat="1" ht="12.6" customHeight="1" x14ac:dyDescent="0.3"/>
    <row r="517" customFormat="1" ht="12.6" customHeight="1" x14ac:dyDescent="0.3"/>
    <row r="518" customFormat="1" ht="12.6" customHeight="1" x14ac:dyDescent="0.3"/>
    <row r="519" customFormat="1" ht="12.6" customHeight="1" x14ac:dyDescent="0.3"/>
    <row r="520" customFormat="1" ht="12.6" customHeight="1" x14ac:dyDescent="0.3"/>
    <row r="521" customFormat="1" ht="12.6" customHeight="1" x14ac:dyDescent="0.3"/>
    <row r="522" customFormat="1" ht="12.6" customHeight="1" x14ac:dyDescent="0.3"/>
    <row r="523" customFormat="1" ht="12.6" customHeight="1" x14ac:dyDescent="0.3"/>
    <row r="524" customFormat="1" ht="12.6" customHeight="1" x14ac:dyDescent="0.3"/>
    <row r="525" customFormat="1" ht="12.6" customHeight="1" x14ac:dyDescent="0.3"/>
    <row r="526" customFormat="1" ht="12.6" customHeight="1" x14ac:dyDescent="0.3"/>
    <row r="527" customFormat="1" ht="12.6" customHeight="1" x14ac:dyDescent="0.3"/>
    <row r="528" customFormat="1" ht="12.6" customHeight="1" x14ac:dyDescent="0.3"/>
    <row r="529" customFormat="1" ht="12.6" customHeight="1" x14ac:dyDescent="0.3"/>
    <row r="530" customFormat="1" ht="12.6" customHeight="1" x14ac:dyDescent="0.3"/>
    <row r="531" customFormat="1" ht="12.6" customHeight="1" x14ac:dyDescent="0.3"/>
    <row r="532" customFormat="1" ht="12.6" customHeight="1" x14ac:dyDescent="0.3"/>
    <row r="533" customFormat="1" ht="12.6" customHeight="1" x14ac:dyDescent="0.3"/>
    <row r="534" customFormat="1" ht="12.6" customHeight="1" x14ac:dyDescent="0.3"/>
    <row r="535" customFormat="1" ht="12.6" customHeight="1" x14ac:dyDescent="0.3"/>
    <row r="536" customFormat="1" ht="12.6" customHeight="1" x14ac:dyDescent="0.3"/>
    <row r="537" customFormat="1" ht="12.6" customHeight="1" x14ac:dyDescent="0.3"/>
    <row r="538" customFormat="1" ht="12.6" customHeight="1" x14ac:dyDescent="0.3"/>
    <row r="539" customFormat="1" ht="12.6" customHeight="1" x14ac:dyDescent="0.3"/>
    <row r="540" customFormat="1" ht="12.6" customHeight="1" x14ac:dyDescent="0.3"/>
    <row r="541" customFormat="1" ht="12.6" customHeight="1" x14ac:dyDescent="0.3"/>
    <row r="542" customFormat="1" ht="12.6" customHeight="1" x14ac:dyDescent="0.3"/>
    <row r="543" customFormat="1" ht="12.6" customHeight="1" x14ac:dyDescent="0.3"/>
    <row r="544" customFormat="1" ht="12.6" customHeight="1" x14ac:dyDescent="0.3"/>
    <row r="545" customFormat="1" ht="12.6" customHeight="1" x14ac:dyDescent="0.3"/>
    <row r="546" customFormat="1" ht="12.6" customHeight="1" x14ac:dyDescent="0.3"/>
    <row r="547" customFormat="1" ht="12.6" customHeight="1" x14ac:dyDescent="0.3"/>
    <row r="548" customFormat="1" ht="12.6" customHeight="1" x14ac:dyDescent="0.3"/>
    <row r="549" customFormat="1" ht="12.6" customHeight="1" x14ac:dyDescent="0.3"/>
    <row r="550" customFormat="1" ht="12.6" customHeight="1" x14ac:dyDescent="0.3"/>
    <row r="551" customFormat="1" ht="12.6" customHeight="1" x14ac:dyDescent="0.3"/>
    <row r="552" customFormat="1" ht="12.6" customHeight="1" x14ac:dyDescent="0.3"/>
    <row r="553" customFormat="1" ht="12.6" customHeight="1" x14ac:dyDescent="0.3"/>
    <row r="554" customFormat="1" ht="12.6" customHeight="1" x14ac:dyDescent="0.3"/>
    <row r="555" customFormat="1" ht="12.6" customHeight="1" x14ac:dyDescent="0.3"/>
    <row r="556" customFormat="1" ht="12.6" customHeight="1" x14ac:dyDescent="0.3"/>
    <row r="557" customFormat="1" ht="12.6" customHeight="1" x14ac:dyDescent="0.3"/>
    <row r="558" customFormat="1" ht="12.6" customHeight="1" x14ac:dyDescent="0.3"/>
    <row r="559" customFormat="1" ht="12.6" customHeight="1" x14ac:dyDescent="0.3"/>
    <row r="560" customFormat="1" ht="12.6" customHeight="1" x14ac:dyDescent="0.3"/>
    <row r="561" customFormat="1" ht="12.6" customHeight="1" x14ac:dyDescent="0.3"/>
    <row r="562" customFormat="1" ht="12.6" customHeight="1" x14ac:dyDescent="0.3"/>
    <row r="563" customFormat="1" ht="12.6" customHeight="1" x14ac:dyDescent="0.3"/>
    <row r="564" customFormat="1" ht="12.6" customHeight="1" x14ac:dyDescent="0.3"/>
    <row r="565" customFormat="1" ht="12.6" customHeight="1" x14ac:dyDescent="0.3"/>
    <row r="566" customFormat="1" ht="12.6" customHeight="1" x14ac:dyDescent="0.3"/>
    <row r="567" customFormat="1" ht="12.6" customHeight="1" x14ac:dyDescent="0.3"/>
    <row r="568" customFormat="1" ht="12.6" customHeight="1" x14ac:dyDescent="0.3"/>
    <row r="569" customFormat="1" ht="12.6" customHeight="1" x14ac:dyDescent="0.3"/>
    <row r="570" customFormat="1" ht="12.6" customHeight="1" x14ac:dyDescent="0.3"/>
    <row r="571" customFormat="1" ht="12.6" customHeight="1" x14ac:dyDescent="0.3"/>
    <row r="572" customFormat="1" ht="12.6" customHeight="1" x14ac:dyDescent="0.3"/>
    <row r="573" customFormat="1" ht="12.6" customHeight="1" x14ac:dyDescent="0.3"/>
    <row r="574" customFormat="1" ht="12.6" customHeight="1" x14ac:dyDescent="0.3"/>
    <row r="575" customFormat="1" ht="12.6" customHeight="1" x14ac:dyDescent="0.3"/>
    <row r="576" customFormat="1" ht="12.6" customHeight="1" x14ac:dyDescent="0.3"/>
    <row r="577" customFormat="1" ht="12.6" customHeight="1" x14ac:dyDescent="0.3"/>
    <row r="578" customFormat="1" ht="12.6" customHeight="1" x14ac:dyDescent="0.3"/>
    <row r="579" customFormat="1" ht="12.6" customHeight="1" x14ac:dyDescent="0.3"/>
    <row r="580" customFormat="1" ht="12.6" customHeight="1" x14ac:dyDescent="0.3"/>
    <row r="581" customFormat="1" ht="12.6" customHeight="1" x14ac:dyDescent="0.3"/>
    <row r="582" customFormat="1" ht="12.6" customHeight="1" x14ac:dyDescent="0.3"/>
    <row r="583" customFormat="1" ht="12.6" customHeight="1" x14ac:dyDescent="0.3"/>
    <row r="584" customFormat="1" ht="12.6" customHeight="1" x14ac:dyDescent="0.3"/>
    <row r="585" customFormat="1" ht="12.6" customHeight="1" x14ac:dyDescent="0.3"/>
    <row r="586" customFormat="1" ht="12.6" customHeight="1" x14ac:dyDescent="0.3"/>
    <row r="587" customFormat="1" ht="12.6" customHeight="1" x14ac:dyDescent="0.3"/>
    <row r="588" customFormat="1" ht="12.6" customHeight="1" x14ac:dyDescent="0.3"/>
    <row r="589" customFormat="1" ht="12.6" customHeight="1" x14ac:dyDescent="0.3"/>
    <row r="590" customFormat="1" ht="12.6" customHeight="1" x14ac:dyDescent="0.3"/>
    <row r="591" customFormat="1" ht="12.6" customHeight="1" x14ac:dyDescent="0.3"/>
    <row r="592" customFormat="1" ht="12.6" customHeight="1" x14ac:dyDescent="0.3"/>
    <row r="593" customFormat="1" ht="12.6" customHeight="1" x14ac:dyDescent="0.3"/>
    <row r="594" customFormat="1" ht="12.6" customHeight="1" x14ac:dyDescent="0.3"/>
    <row r="595" customFormat="1" ht="12.6" customHeight="1" x14ac:dyDescent="0.3"/>
    <row r="596" customFormat="1" ht="12.6" customHeight="1" x14ac:dyDescent="0.3"/>
    <row r="597" customFormat="1" ht="12.6" customHeight="1" x14ac:dyDescent="0.3"/>
    <row r="598" customFormat="1" ht="12.6" customHeight="1" x14ac:dyDescent="0.3"/>
    <row r="599" customFormat="1" ht="12.6" customHeight="1" x14ac:dyDescent="0.3"/>
    <row r="600" customFormat="1" ht="12.6" customHeight="1" x14ac:dyDescent="0.3"/>
    <row r="601" customFormat="1" ht="12.6" customHeight="1" x14ac:dyDescent="0.3"/>
    <row r="602" customFormat="1" ht="12.6" customHeight="1" x14ac:dyDescent="0.3"/>
    <row r="603" customFormat="1" ht="12.6" customHeight="1" x14ac:dyDescent="0.3"/>
    <row r="604" customFormat="1" ht="12.6" customHeight="1" x14ac:dyDescent="0.3"/>
    <row r="605" customFormat="1" ht="12.6" customHeight="1" x14ac:dyDescent="0.3"/>
    <row r="606" customFormat="1" ht="12.6" customHeight="1" x14ac:dyDescent="0.3"/>
    <row r="607" customFormat="1" ht="12.6" customHeight="1" x14ac:dyDescent="0.3"/>
    <row r="608" customFormat="1" ht="12.6" customHeight="1" x14ac:dyDescent="0.3"/>
    <row r="609" customFormat="1" ht="12.6" customHeight="1" x14ac:dyDescent="0.3"/>
    <row r="610" customFormat="1" ht="12.6" customHeight="1" x14ac:dyDescent="0.3"/>
    <row r="611" customFormat="1" ht="12.6" customHeight="1" x14ac:dyDescent="0.3"/>
    <row r="612" customFormat="1" ht="12.6" customHeight="1" x14ac:dyDescent="0.3"/>
    <row r="613" customFormat="1" ht="12.6" customHeight="1" x14ac:dyDescent="0.3"/>
    <row r="614" customFormat="1" ht="12.6" customHeight="1" x14ac:dyDescent="0.3"/>
    <row r="615" customFormat="1" ht="12.6" customHeight="1" x14ac:dyDescent="0.3"/>
    <row r="616" customFormat="1" ht="12.6" customHeight="1" x14ac:dyDescent="0.3"/>
    <row r="617" customFormat="1" ht="12.6" customHeight="1" x14ac:dyDescent="0.3"/>
    <row r="618" customFormat="1" ht="12.6" customHeight="1" x14ac:dyDescent="0.3"/>
    <row r="619" customFormat="1" ht="12.6" customHeight="1" x14ac:dyDescent="0.3"/>
    <row r="620" customFormat="1" ht="12.6" customHeight="1" x14ac:dyDescent="0.3"/>
    <row r="621" customFormat="1" ht="12.6" customHeight="1" x14ac:dyDescent="0.3"/>
    <row r="622" customFormat="1" ht="12.6" customHeight="1" x14ac:dyDescent="0.3"/>
    <row r="623" customFormat="1" ht="12.6" customHeight="1" x14ac:dyDescent="0.3"/>
    <row r="624" customFormat="1" ht="12.6" customHeight="1" x14ac:dyDescent="0.3"/>
    <row r="625" customFormat="1" ht="12.6" customHeight="1" x14ac:dyDescent="0.3"/>
    <row r="626" customFormat="1" ht="12.6" customHeight="1" x14ac:dyDescent="0.3"/>
    <row r="627" customFormat="1" ht="12.6" customHeight="1" x14ac:dyDescent="0.3"/>
    <row r="628" customFormat="1" ht="12.6" customHeight="1" x14ac:dyDescent="0.3"/>
    <row r="629" customFormat="1" ht="12.6" customHeight="1" x14ac:dyDescent="0.3"/>
    <row r="630" customFormat="1" ht="12.6" customHeight="1" x14ac:dyDescent="0.3"/>
    <row r="631" customFormat="1" ht="12.6" customHeight="1" x14ac:dyDescent="0.3"/>
    <row r="632" customFormat="1" ht="12.6" customHeight="1" x14ac:dyDescent="0.3"/>
    <row r="633" customFormat="1" ht="12.6" customHeight="1" x14ac:dyDescent="0.3"/>
    <row r="634" customFormat="1" ht="12.6" customHeight="1" x14ac:dyDescent="0.3"/>
    <row r="635" customFormat="1" ht="12.6" customHeight="1" x14ac:dyDescent="0.3"/>
    <row r="636" customFormat="1" ht="12.6" customHeight="1" x14ac:dyDescent="0.3"/>
    <row r="637" customFormat="1" ht="12.6" customHeight="1" x14ac:dyDescent="0.3"/>
    <row r="638" customFormat="1" ht="12.6" customHeight="1" x14ac:dyDescent="0.3"/>
    <row r="639" customFormat="1" ht="12.6" customHeight="1" x14ac:dyDescent="0.3"/>
    <row r="640" customFormat="1" ht="12.6" customHeight="1" x14ac:dyDescent="0.3"/>
    <row r="641" customFormat="1" ht="12.6" customHeight="1" x14ac:dyDescent="0.3"/>
    <row r="642" customFormat="1" ht="12.6" customHeight="1" x14ac:dyDescent="0.3"/>
    <row r="643" customFormat="1" ht="12.6" customHeight="1" x14ac:dyDescent="0.3"/>
    <row r="644" customFormat="1" ht="12.6" customHeight="1" x14ac:dyDescent="0.3"/>
    <row r="645" customFormat="1" ht="12.6" customHeight="1" x14ac:dyDescent="0.3"/>
    <row r="646" customFormat="1" ht="12.6" customHeight="1" x14ac:dyDescent="0.3"/>
    <row r="647" customFormat="1" ht="12.6" customHeight="1" x14ac:dyDescent="0.3"/>
    <row r="648" customFormat="1" ht="12.6" customHeight="1" x14ac:dyDescent="0.3"/>
    <row r="649" customFormat="1" ht="12.6" customHeight="1" x14ac:dyDescent="0.3"/>
    <row r="650" customFormat="1" ht="12.6" customHeight="1" x14ac:dyDescent="0.3"/>
    <row r="651" customFormat="1" ht="12.6" customHeight="1" x14ac:dyDescent="0.3"/>
    <row r="652" customFormat="1" ht="12.6" customHeight="1" x14ac:dyDescent="0.3"/>
    <row r="653" customFormat="1" ht="12.6" customHeight="1" x14ac:dyDescent="0.3"/>
    <row r="654" customFormat="1" ht="12.6" customHeight="1" x14ac:dyDescent="0.3"/>
    <row r="655" customFormat="1" ht="12.6" customHeight="1" x14ac:dyDescent="0.3"/>
    <row r="656" customFormat="1" ht="12.6" customHeight="1" x14ac:dyDescent="0.3"/>
    <row r="657" customFormat="1" ht="12.6" customHeight="1" x14ac:dyDescent="0.3"/>
    <row r="658" customFormat="1" ht="12.6" customHeight="1" x14ac:dyDescent="0.3"/>
    <row r="659" customFormat="1" ht="12.6" customHeight="1" x14ac:dyDescent="0.3"/>
    <row r="660" customFormat="1" ht="12.6" customHeight="1" x14ac:dyDescent="0.3"/>
    <row r="661" customFormat="1" ht="12.6" customHeight="1" x14ac:dyDescent="0.3"/>
    <row r="662" customFormat="1" ht="12.6" customHeight="1" x14ac:dyDescent="0.3"/>
    <row r="663" customFormat="1" ht="12.6" customHeight="1" x14ac:dyDescent="0.3"/>
    <row r="664" customFormat="1" ht="12.6" customHeight="1" x14ac:dyDescent="0.3"/>
    <row r="665" customFormat="1" ht="12.6" customHeight="1" x14ac:dyDescent="0.3"/>
    <row r="666" customFormat="1" ht="12.6" customHeight="1" x14ac:dyDescent="0.3"/>
    <row r="667" customFormat="1" ht="12.6" customHeight="1" x14ac:dyDescent="0.3"/>
    <row r="668" customFormat="1" ht="12.6" customHeight="1" x14ac:dyDescent="0.3"/>
    <row r="669" customFormat="1" ht="12.6" customHeight="1" x14ac:dyDescent="0.3"/>
    <row r="670" customFormat="1" ht="12.6" customHeight="1" x14ac:dyDescent="0.3"/>
    <row r="671" customFormat="1" ht="12.6" customHeight="1" x14ac:dyDescent="0.3"/>
    <row r="672" customFormat="1" ht="12.6" customHeight="1" x14ac:dyDescent="0.3"/>
    <row r="673" customFormat="1" ht="12.6" customHeight="1" x14ac:dyDescent="0.3"/>
    <row r="674" customFormat="1" ht="12.6" customHeight="1" x14ac:dyDescent="0.3"/>
    <row r="675" customFormat="1" ht="12.6" customHeight="1" x14ac:dyDescent="0.3"/>
    <row r="676" customFormat="1" ht="12.6" customHeight="1" x14ac:dyDescent="0.3"/>
    <row r="677" customFormat="1" ht="12.6" customHeight="1" x14ac:dyDescent="0.3"/>
    <row r="678" customFormat="1" ht="12.6" customHeight="1" x14ac:dyDescent="0.3"/>
    <row r="679" customFormat="1" ht="12.6" customHeight="1" x14ac:dyDescent="0.3"/>
    <row r="680" customFormat="1" ht="12.6" customHeight="1" x14ac:dyDescent="0.3"/>
    <row r="681" customFormat="1" ht="12.6" customHeight="1" x14ac:dyDescent="0.3"/>
    <row r="682" customFormat="1" ht="12.6" customHeight="1" x14ac:dyDescent="0.3"/>
    <row r="683" customFormat="1" ht="12.6" customHeight="1" x14ac:dyDescent="0.3"/>
    <row r="684" customFormat="1" ht="12.6" customHeight="1" x14ac:dyDescent="0.3"/>
    <row r="685" customFormat="1" ht="12.6" customHeight="1" x14ac:dyDescent="0.3"/>
    <row r="686" customFormat="1" ht="12.6" customHeight="1" x14ac:dyDescent="0.3"/>
    <row r="687" customFormat="1" ht="12.6" customHeight="1" x14ac:dyDescent="0.3"/>
    <row r="688" customFormat="1" ht="12.6" customHeight="1" x14ac:dyDescent="0.3"/>
    <row r="689" customFormat="1" ht="12.6" customHeight="1" x14ac:dyDescent="0.3"/>
    <row r="690" customFormat="1" ht="12.6" customHeight="1" x14ac:dyDescent="0.3"/>
    <row r="691" customFormat="1" ht="12.6" customHeight="1" x14ac:dyDescent="0.3"/>
    <row r="692" customFormat="1" ht="12.6" customHeight="1" x14ac:dyDescent="0.3"/>
    <row r="693" customFormat="1" ht="12.6" customHeight="1" x14ac:dyDescent="0.3"/>
    <row r="694" customFormat="1" ht="12.6" customHeight="1" x14ac:dyDescent="0.3"/>
    <row r="695" customFormat="1" ht="12.6" customHeight="1" x14ac:dyDescent="0.3"/>
    <row r="696" customFormat="1" ht="12.6" customHeight="1" x14ac:dyDescent="0.3"/>
    <row r="697" customFormat="1" ht="12.6" customHeight="1" x14ac:dyDescent="0.3"/>
    <row r="698" customFormat="1" ht="12.6" customHeight="1" x14ac:dyDescent="0.3"/>
    <row r="699" customFormat="1" ht="12.6" customHeight="1" x14ac:dyDescent="0.3"/>
    <row r="700" customFormat="1" ht="12.6" customHeight="1" x14ac:dyDescent="0.3"/>
    <row r="701" customFormat="1" ht="12.6" customHeight="1" x14ac:dyDescent="0.3"/>
    <row r="702" customFormat="1" ht="12.6" customHeight="1" x14ac:dyDescent="0.3"/>
    <row r="703" customFormat="1" ht="12.6" customHeight="1" x14ac:dyDescent="0.3"/>
    <row r="704" customFormat="1" ht="12.6" customHeight="1" x14ac:dyDescent="0.3"/>
    <row r="705" customFormat="1" ht="12.6" customHeight="1" x14ac:dyDescent="0.3"/>
    <row r="706" customFormat="1" ht="12.6" customHeight="1" x14ac:dyDescent="0.3"/>
    <row r="707" customFormat="1" ht="12.6" customHeight="1" x14ac:dyDescent="0.3"/>
    <row r="708" customFormat="1" ht="12.6" customHeight="1" x14ac:dyDescent="0.3"/>
    <row r="709" customFormat="1" ht="12.6" customHeight="1" x14ac:dyDescent="0.3"/>
    <row r="710" customFormat="1" ht="12.6" customHeight="1" x14ac:dyDescent="0.3"/>
    <row r="711" customFormat="1" ht="12.6" customHeight="1" x14ac:dyDescent="0.3"/>
    <row r="712" customFormat="1" ht="12.6" customHeight="1" x14ac:dyDescent="0.3"/>
    <row r="713" customFormat="1" ht="12.6" customHeight="1" x14ac:dyDescent="0.3"/>
    <row r="714" customFormat="1" ht="12.6" customHeight="1" x14ac:dyDescent="0.3"/>
    <row r="715" customFormat="1" ht="12.6" customHeight="1" x14ac:dyDescent="0.3"/>
    <row r="716" customFormat="1" ht="12.6" customHeight="1" x14ac:dyDescent="0.3"/>
    <row r="717" customFormat="1" ht="12.6" customHeight="1" x14ac:dyDescent="0.3"/>
    <row r="718" customFormat="1" ht="12.6" customHeight="1" x14ac:dyDescent="0.3"/>
    <row r="719" customFormat="1" ht="12.6" customHeight="1" x14ac:dyDescent="0.3"/>
    <row r="720" customFormat="1" ht="12.6" customHeight="1" x14ac:dyDescent="0.3"/>
    <row r="721" customFormat="1" ht="12.6" customHeight="1" x14ac:dyDescent="0.3"/>
    <row r="722" customFormat="1" ht="12.6" customHeight="1" x14ac:dyDescent="0.3"/>
    <row r="723" customFormat="1" ht="12.6" customHeight="1" x14ac:dyDescent="0.3"/>
    <row r="724" customFormat="1" ht="12.6" customHeight="1" x14ac:dyDescent="0.3"/>
    <row r="725" customFormat="1" ht="12.6" customHeight="1" x14ac:dyDescent="0.3"/>
    <row r="726" customFormat="1" ht="12.6" customHeight="1" x14ac:dyDescent="0.3"/>
    <row r="727" customFormat="1" ht="12.6" customHeight="1" x14ac:dyDescent="0.3"/>
    <row r="728" customFormat="1" ht="12.6" customHeight="1" x14ac:dyDescent="0.3"/>
    <row r="729" customFormat="1" ht="12.6" customHeight="1" x14ac:dyDescent="0.3"/>
    <row r="730" customFormat="1" ht="12.6" customHeight="1" x14ac:dyDescent="0.3"/>
    <row r="731" customFormat="1" ht="12.6" customHeight="1" x14ac:dyDescent="0.3"/>
    <row r="732" customFormat="1" ht="12.6" customHeight="1" x14ac:dyDescent="0.3"/>
    <row r="733" customFormat="1" ht="12.6" customHeight="1" x14ac:dyDescent="0.3"/>
    <row r="734" customFormat="1" ht="12.6" customHeight="1" x14ac:dyDescent="0.3"/>
    <row r="735" customFormat="1" ht="12.6" customHeight="1" x14ac:dyDescent="0.3"/>
    <row r="736" customFormat="1" ht="12.6" customHeight="1" x14ac:dyDescent="0.3"/>
    <row r="737" customFormat="1" ht="12.6" customHeight="1" x14ac:dyDescent="0.3"/>
    <row r="738" customFormat="1" ht="12.6" customHeight="1" x14ac:dyDescent="0.3"/>
    <row r="739" customFormat="1" ht="12.6" customHeight="1" x14ac:dyDescent="0.3"/>
    <row r="740" customFormat="1" ht="12.6" customHeight="1" x14ac:dyDescent="0.3"/>
    <row r="741" customFormat="1" ht="12.6" customHeight="1" x14ac:dyDescent="0.3"/>
    <row r="742" customFormat="1" ht="12.6" customHeight="1" x14ac:dyDescent="0.3"/>
    <row r="743" customFormat="1" ht="12.6" customHeight="1" x14ac:dyDescent="0.3"/>
    <row r="744" customFormat="1" ht="12.6" customHeight="1" x14ac:dyDescent="0.3"/>
    <row r="745" customFormat="1" ht="12.6" customHeight="1" x14ac:dyDescent="0.3"/>
    <row r="746" customFormat="1" ht="12.6" customHeight="1" x14ac:dyDescent="0.3"/>
    <row r="747" customFormat="1" ht="12.6" customHeight="1" x14ac:dyDescent="0.3"/>
    <row r="748" customFormat="1" ht="12.6" customHeight="1" x14ac:dyDescent="0.3"/>
    <row r="749" customFormat="1" ht="12.6" customHeight="1" x14ac:dyDescent="0.3"/>
    <row r="750" customFormat="1" ht="12.6" customHeight="1" x14ac:dyDescent="0.3"/>
    <row r="751" customFormat="1" ht="12.6" customHeight="1" x14ac:dyDescent="0.3"/>
    <row r="752" customFormat="1" ht="12.6" customHeight="1" x14ac:dyDescent="0.3"/>
    <row r="753" customFormat="1" ht="12.6" customHeight="1" x14ac:dyDescent="0.3"/>
    <row r="754" customFormat="1" ht="12.6" customHeight="1" x14ac:dyDescent="0.3"/>
    <row r="755" customFormat="1" ht="12.6" customHeight="1" x14ac:dyDescent="0.3"/>
    <row r="756" customFormat="1" ht="12.6" customHeight="1" x14ac:dyDescent="0.3"/>
    <row r="757" customFormat="1" ht="12.6" customHeight="1" x14ac:dyDescent="0.3"/>
    <row r="758" customFormat="1" ht="12.6" customHeight="1" x14ac:dyDescent="0.3"/>
    <row r="759" customFormat="1" ht="12.6" customHeight="1" x14ac:dyDescent="0.3"/>
    <row r="760" customFormat="1" ht="12.6" customHeight="1" x14ac:dyDescent="0.3"/>
    <row r="761" customFormat="1" ht="12.6" customHeight="1" x14ac:dyDescent="0.3"/>
    <row r="762" customFormat="1" ht="12.6" customHeight="1" x14ac:dyDescent="0.3"/>
    <row r="763" customFormat="1" ht="12.6" customHeight="1" x14ac:dyDescent="0.3"/>
    <row r="764" customFormat="1" ht="12.6" customHeight="1" x14ac:dyDescent="0.3"/>
    <row r="765" customFormat="1" ht="12.6" customHeight="1" x14ac:dyDescent="0.3"/>
    <row r="766" customFormat="1" ht="12.6" customHeight="1" x14ac:dyDescent="0.3"/>
    <row r="767" customFormat="1" ht="12.6" customHeight="1" x14ac:dyDescent="0.3"/>
    <row r="768" customFormat="1" ht="12.6" customHeight="1" x14ac:dyDescent="0.3"/>
    <row r="769" customFormat="1" ht="12.6" customHeight="1" x14ac:dyDescent="0.3"/>
    <row r="770" customFormat="1" ht="12.6" customHeight="1" x14ac:dyDescent="0.3"/>
    <row r="771" customFormat="1" ht="12.6" customHeight="1" x14ac:dyDescent="0.3"/>
    <row r="772" customFormat="1" ht="12.6" customHeight="1" x14ac:dyDescent="0.3"/>
    <row r="773" customFormat="1" ht="12.6" customHeight="1" x14ac:dyDescent="0.3"/>
    <row r="774" customFormat="1" ht="12.6" customHeight="1" x14ac:dyDescent="0.3"/>
    <row r="775" customFormat="1" ht="12.6" customHeight="1" x14ac:dyDescent="0.3"/>
    <row r="776" customFormat="1" ht="12.6" customHeight="1" x14ac:dyDescent="0.3"/>
    <row r="777" customFormat="1" ht="12.6" customHeight="1" x14ac:dyDescent="0.3"/>
    <row r="778" customFormat="1" ht="12.6" customHeight="1" x14ac:dyDescent="0.3"/>
    <row r="779" customFormat="1" ht="12.6" customHeight="1" x14ac:dyDescent="0.3"/>
    <row r="780" customFormat="1" ht="12.6" customHeight="1" x14ac:dyDescent="0.3"/>
    <row r="781" customFormat="1" ht="12.6" customHeight="1" x14ac:dyDescent="0.3"/>
    <row r="782" customFormat="1" ht="12.6" customHeight="1" x14ac:dyDescent="0.3"/>
    <row r="783" customFormat="1" ht="12.6" customHeight="1" x14ac:dyDescent="0.3"/>
    <row r="784" customFormat="1" ht="12.6" customHeight="1" x14ac:dyDescent="0.3"/>
    <row r="785" customFormat="1" ht="12.6" customHeight="1" x14ac:dyDescent="0.3"/>
    <row r="786" customFormat="1" ht="12.6" customHeight="1" x14ac:dyDescent="0.3"/>
    <row r="787" customFormat="1" ht="12.6" customHeight="1" x14ac:dyDescent="0.3"/>
    <row r="788" customFormat="1" ht="12.6" customHeight="1" x14ac:dyDescent="0.3"/>
    <row r="789" customFormat="1" ht="12.6" customHeight="1" x14ac:dyDescent="0.3"/>
    <row r="790" customFormat="1" ht="12.6" customHeight="1" x14ac:dyDescent="0.3"/>
    <row r="791" customFormat="1" ht="12.6" customHeight="1" x14ac:dyDescent="0.3"/>
    <row r="792" customFormat="1" ht="12.6" customHeight="1" x14ac:dyDescent="0.3"/>
    <row r="793" customFormat="1" ht="12.6" customHeight="1" x14ac:dyDescent="0.3"/>
    <row r="794" customFormat="1" ht="12.6" customHeight="1" x14ac:dyDescent="0.3"/>
    <row r="795" customFormat="1" ht="12.6" customHeight="1" x14ac:dyDescent="0.3"/>
    <row r="796" customFormat="1" ht="12.6" customHeight="1" x14ac:dyDescent="0.3"/>
    <row r="797" customFormat="1" ht="12.6" customHeight="1" x14ac:dyDescent="0.3"/>
    <row r="798" customFormat="1" ht="12.6" customHeight="1" x14ac:dyDescent="0.3"/>
    <row r="799" customFormat="1" ht="12.6" customHeight="1" x14ac:dyDescent="0.3"/>
    <row r="800" customFormat="1" ht="12.6" customHeight="1" x14ac:dyDescent="0.3"/>
    <row r="801" customFormat="1" ht="12.6" customHeight="1" x14ac:dyDescent="0.3"/>
    <row r="802" customFormat="1" ht="12.6" customHeight="1" x14ac:dyDescent="0.3"/>
    <row r="803" customFormat="1" ht="12.6" customHeight="1" x14ac:dyDescent="0.3"/>
    <row r="804" customFormat="1" ht="12.6" customHeight="1" x14ac:dyDescent="0.3"/>
    <row r="805" customFormat="1" ht="12.6" customHeight="1" x14ac:dyDescent="0.3"/>
    <row r="806" customFormat="1" ht="12.6" customHeight="1" x14ac:dyDescent="0.3"/>
    <row r="807" customFormat="1" ht="12.6" customHeight="1" x14ac:dyDescent="0.3"/>
    <row r="808" customFormat="1" ht="12.6" customHeight="1" x14ac:dyDescent="0.3"/>
    <row r="809" customFormat="1" ht="12.6" customHeight="1" x14ac:dyDescent="0.3"/>
    <row r="810" customFormat="1" ht="12.6" customHeight="1" x14ac:dyDescent="0.3"/>
    <row r="811" customFormat="1" ht="12.6" customHeight="1" x14ac:dyDescent="0.3"/>
    <row r="812" customFormat="1" ht="12.6" customHeight="1" x14ac:dyDescent="0.3"/>
    <row r="813" customFormat="1" ht="12.6" customHeight="1" x14ac:dyDescent="0.3"/>
    <row r="814" customFormat="1" ht="12.6" customHeight="1" x14ac:dyDescent="0.3"/>
    <row r="815" customFormat="1" ht="12.6" customHeight="1" x14ac:dyDescent="0.3"/>
    <row r="816" customFormat="1" ht="12.6" customHeight="1" x14ac:dyDescent="0.3"/>
    <row r="817" customFormat="1" ht="12.6" customHeight="1" x14ac:dyDescent="0.3"/>
    <row r="818" customFormat="1" ht="12.6" customHeight="1" x14ac:dyDescent="0.3"/>
    <row r="819" customFormat="1" ht="12.6" customHeight="1" x14ac:dyDescent="0.3"/>
    <row r="820" customFormat="1" ht="12.6" customHeight="1" x14ac:dyDescent="0.3"/>
    <row r="821" customFormat="1" ht="12.6" customHeight="1" x14ac:dyDescent="0.3"/>
    <row r="822" customFormat="1" ht="12.6" customHeight="1" x14ac:dyDescent="0.3"/>
    <row r="823" customFormat="1" ht="12.6" customHeight="1" x14ac:dyDescent="0.3"/>
    <row r="824" customFormat="1" ht="12.6" customHeight="1" x14ac:dyDescent="0.3"/>
    <row r="825" customFormat="1" ht="12.6" customHeight="1" x14ac:dyDescent="0.3"/>
    <row r="826" customFormat="1" ht="12.6" customHeight="1" x14ac:dyDescent="0.3"/>
    <row r="827" customFormat="1" ht="12.6" customHeight="1" x14ac:dyDescent="0.3"/>
    <row r="828" customFormat="1" ht="12.6" customHeight="1" x14ac:dyDescent="0.3"/>
    <row r="829" customFormat="1" ht="12.6" customHeight="1" x14ac:dyDescent="0.3"/>
    <row r="830" customFormat="1" ht="12.6" customHeight="1" x14ac:dyDescent="0.3"/>
    <row r="831" customFormat="1" ht="12.6" customHeight="1" x14ac:dyDescent="0.3"/>
    <row r="832" customFormat="1" ht="12.6" customHeight="1" x14ac:dyDescent="0.3"/>
    <row r="833" customFormat="1" ht="12.6" customHeight="1" x14ac:dyDescent="0.3"/>
    <row r="834" customFormat="1" ht="12.6" customHeight="1" x14ac:dyDescent="0.3"/>
    <row r="835" customFormat="1" ht="12.6" customHeight="1" x14ac:dyDescent="0.3"/>
    <row r="836" customFormat="1" ht="12.6" customHeight="1" x14ac:dyDescent="0.3"/>
    <row r="837" customFormat="1" ht="12.6" customHeight="1" x14ac:dyDescent="0.3"/>
    <row r="838" customFormat="1" ht="12.6" customHeight="1" x14ac:dyDescent="0.3"/>
    <row r="839" customFormat="1" ht="12.6" customHeight="1" x14ac:dyDescent="0.3"/>
    <row r="840" customFormat="1" ht="12.6" customHeight="1" x14ac:dyDescent="0.3"/>
    <row r="841" customFormat="1" ht="12.6" customHeight="1" x14ac:dyDescent="0.3"/>
    <row r="842" customFormat="1" ht="12.6" customHeight="1" x14ac:dyDescent="0.3"/>
    <row r="843" customFormat="1" ht="12.6" customHeight="1" x14ac:dyDescent="0.3"/>
    <row r="844" customFormat="1" ht="12.6" customHeight="1" x14ac:dyDescent="0.3"/>
    <row r="845" customFormat="1" ht="12.6" customHeight="1" x14ac:dyDescent="0.3"/>
    <row r="846" customFormat="1" ht="12.6" customHeight="1" x14ac:dyDescent="0.3"/>
    <row r="847" customFormat="1" ht="12.6" customHeight="1" x14ac:dyDescent="0.3"/>
    <row r="848" customFormat="1" ht="12.6" customHeight="1" x14ac:dyDescent="0.3"/>
    <row r="849" customFormat="1" ht="12.6" customHeight="1" x14ac:dyDescent="0.3"/>
    <row r="850" customFormat="1" ht="12.6" customHeight="1" x14ac:dyDescent="0.3"/>
    <row r="851" customFormat="1" ht="12.6" customHeight="1" x14ac:dyDescent="0.3"/>
    <row r="852" customFormat="1" ht="12.6" customHeight="1" x14ac:dyDescent="0.3"/>
    <row r="853" customFormat="1" ht="12.6" customHeight="1" x14ac:dyDescent="0.3"/>
    <row r="854" customFormat="1" ht="12.6" customHeight="1" x14ac:dyDescent="0.3"/>
    <row r="855" customFormat="1" ht="12.6" customHeight="1" x14ac:dyDescent="0.3"/>
    <row r="856" customFormat="1" ht="12.6" customHeight="1" x14ac:dyDescent="0.3"/>
    <row r="857" customFormat="1" ht="12.6" customHeight="1" x14ac:dyDescent="0.3"/>
    <row r="858" customFormat="1" ht="12.6" customHeight="1" x14ac:dyDescent="0.3"/>
    <row r="859" customFormat="1" ht="12.6" customHeight="1" x14ac:dyDescent="0.3"/>
    <row r="860" customFormat="1" ht="12.6" customHeight="1" x14ac:dyDescent="0.3"/>
    <row r="861" customFormat="1" ht="12.6" customHeight="1" x14ac:dyDescent="0.3"/>
    <row r="862" customFormat="1" ht="12.6" customHeight="1" x14ac:dyDescent="0.3"/>
    <row r="863" customFormat="1" ht="12.6" customHeight="1" x14ac:dyDescent="0.3"/>
    <row r="864" customFormat="1" ht="12.6" customHeight="1" x14ac:dyDescent="0.3"/>
    <row r="865" customFormat="1" ht="12.6" customHeight="1" x14ac:dyDescent="0.3"/>
    <row r="866" customFormat="1" ht="12.6" customHeight="1" x14ac:dyDescent="0.3"/>
    <row r="867" customFormat="1" ht="12.6" customHeight="1" x14ac:dyDescent="0.3"/>
    <row r="868" customFormat="1" ht="12.6" customHeight="1" x14ac:dyDescent="0.3"/>
    <row r="869" customFormat="1" ht="12.6" customHeight="1" x14ac:dyDescent="0.3"/>
    <row r="870" customFormat="1" ht="12.6" customHeight="1" x14ac:dyDescent="0.3"/>
    <row r="871" customFormat="1" ht="12.6" customHeight="1" x14ac:dyDescent="0.3"/>
    <row r="872" customFormat="1" ht="12.6" customHeight="1" x14ac:dyDescent="0.3"/>
    <row r="873" customFormat="1" ht="12.6" customHeight="1" x14ac:dyDescent="0.3"/>
    <row r="874" customFormat="1" ht="12.6" customHeight="1" x14ac:dyDescent="0.3"/>
    <row r="875" customFormat="1" ht="12.6" customHeight="1" x14ac:dyDescent="0.3"/>
    <row r="876" customFormat="1" ht="12.6" customHeight="1" x14ac:dyDescent="0.3"/>
    <row r="877" customFormat="1" ht="12.6" customHeight="1" x14ac:dyDescent="0.3"/>
    <row r="878" customFormat="1" ht="12.6" customHeight="1" x14ac:dyDescent="0.3"/>
    <row r="879" customFormat="1" ht="12.6" customHeight="1" x14ac:dyDescent="0.3"/>
    <row r="880" customFormat="1" ht="12.6" customHeight="1" x14ac:dyDescent="0.3"/>
    <row r="881" customFormat="1" ht="12.6" customHeight="1" x14ac:dyDescent="0.3"/>
    <row r="882" customFormat="1" ht="12.6" customHeight="1" x14ac:dyDescent="0.3"/>
    <row r="883" customFormat="1" ht="12.6" customHeight="1" x14ac:dyDescent="0.3"/>
    <row r="884" customFormat="1" ht="12.6" customHeight="1" x14ac:dyDescent="0.3"/>
    <row r="885" customFormat="1" ht="12.6" customHeight="1" x14ac:dyDescent="0.3"/>
    <row r="886" customFormat="1" ht="12.6" customHeight="1" x14ac:dyDescent="0.3"/>
    <row r="887" customFormat="1" ht="12.6" customHeight="1" x14ac:dyDescent="0.3"/>
    <row r="888" customFormat="1" ht="12.6" customHeight="1" x14ac:dyDescent="0.3"/>
    <row r="889" customFormat="1" ht="12.6" customHeight="1" x14ac:dyDescent="0.3"/>
    <row r="890" customFormat="1" ht="12.6" customHeight="1" x14ac:dyDescent="0.3"/>
    <row r="891" customFormat="1" ht="12.6" customHeight="1" x14ac:dyDescent="0.3"/>
    <row r="892" customFormat="1" ht="12.6" customHeight="1" x14ac:dyDescent="0.3"/>
    <row r="893" customFormat="1" ht="12.6" customHeight="1" x14ac:dyDescent="0.3"/>
    <row r="894" customFormat="1" ht="12.6" customHeight="1" x14ac:dyDescent="0.3"/>
    <row r="895" customFormat="1" ht="12.6" customHeight="1" x14ac:dyDescent="0.3"/>
    <row r="896" customFormat="1" ht="12.6" customHeight="1" x14ac:dyDescent="0.3"/>
    <row r="897" customFormat="1" ht="12.6" customHeight="1" x14ac:dyDescent="0.3"/>
    <row r="898" customFormat="1" ht="12.6" customHeight="1" x14ac:dyDescent="0.3"/>
    <row r="899" customFormat="1" ht="12.6" customHeight="1" x14ac:dyDescent="0.3"/>
    <row r="900" customFormat="1" ht="12.6" customHeight="1" x14ac:dyDescent="0.3"/>
    <row r="901" customFormat="1" ht="12.6" customHeight="1" x14ac:dyDescent="0.3"/>
    <row r="902" customFormat="1" ht="12.6" customHeight="1" x14ac:dyDescent="0.3"/>
    <row r="903" customFormat="1" ht="12.6" customHeight="1" x14ac:dyDescent="0.3"/>
    <row r="904" customFormat="1" ht="12.6" customHeight="1" x14ac:dyDescent="0.3"/>
    <row r="905" customFormat="1" ht="12.6" customHeight="1" x14ac:dyDescent="0.3"/>
    <row r="906" customFormat="1" ht="12.6" customHeight="1" x14ac:dyDescent="0.3"/>
    <row r="907" customFormat="1" ht="12.6" customHeight="1" x14ac:dyDescent="0.3"/>
    <row r="908" customFormat="1" ht="12.6" customHeight="1" x14ac:dyDescent="0.3"/>
    <row r="909" customFormat="1" ht="12.6" customHeight="1" x14ac:dyDescent="0.3"/>
    <row r="910" customFormat="1" ht="12.6" customHeight="1" x14ac:dyDescent="0.3"/>
    <row r="911" customFormat="1" ht="12.6" customHeight="1" x14ac:dyDescent="0.3"/>
    <row r="912" customFormat="1" ht="12.6" customHeight="1" x14ac:dyDescent="0.3"/>
    <row r="913" customFormat="1" ht="12.6" customHeight="1" x14ac:dyDescent="0.3"/>
    <row r="914" customFormat="1" ht="12.6" customHeight="1" x14ac:dyDescent="0.3"/>
    <row r="915" customFormat="1" ht="12.6" customHeight="1" x14ac:dyDescent="0.3"/>
    <row r="916" customFormat="1" ht="12.6" customHeight="1" x14ac:dyDescent="0.3"/>
    <row r="917" customFormat="1" ht="12.6" customHeight="1" x14ac:dyDescent="0.3"/>
    <row r="918" customFormat="1" ht="12.6" customHeight="1" x14ac:dyDescent="0.3"/>
    <row r="919" customFormat="1" ht="12.6" customHeight="1" x14ac:dyDescent="0.3"/>
    <row r="920" customFormat="1" ht="12.6" customHeight="1" x14ac:dyDescent="0.3"/>
    <row r="921" customFormat="1" ht="12.6" customHeight="1" x14ac:dyDescent="0.3"/>
    <row r="922" customFormat="1" ht="12.6" customHeight="1" x14ac:dyDescent="0.3"/>
    <row r="923" customFormat="1" ht="12.6" customHeight="1" x14ac:dyDescent="0.3"/>
    <row r="924" customFormat="1" ht="12.6" customHeight="1" x14ac:dyDescent="0.3"/>
    <row r="925" customFormat="1" ht="12.6" customHeight="1" x14ac:dyDescent="0.3"/>
    <row r="926" customFormat="1" ht="12.6" customHeight="1" x14ac:dyDescent="0.3"/>
    <row r="927" customFormat="1" ht="12.6" customHeight="1" x14ac:dyDescent="0.3"/>
    <row r="928" customFormat="1" ht="12.6" customHeight="1" x14ac:dyDescent="0.3"/>
    <row r="929" customFormat="1" ht="12.6" customHeight="1" x14ac:dyDescent="0.3"/>
    <row r="930" customFormat="1" ht="12.6" customHeight="1" x14ac:dyDescent="0.3"/>
    <row r="931" customFormat="1" ht="12.6" customHeight="1" x14ac:dyDescent="0.3"/>
    <row r="932" customFormat="1" ht="12.6" customHeight="1" x14ac:dyDescent="0.3"/>
    <row r="933" customFormat="1" ht="12.6" customHeight="1" x14ac:dyDescent="0.3"/>
    <row r="934" customFormat="1" ht="12.6" customHeight="1" x14ac:dyDescent="0.3"/>
    <row r="935" customFormat="1" ht="12.6" customHeight="1" x14ac:dyDescent="0.3"/>
    <row r="936" customFormat="1" ht="12.6" customHeight="1" x14ac:dyDescent="0.3"/>
    <row r="937" customFormat="1" ht="12.6" customHeight="1" x14ac:dyDescent="0.3"/>
    <row r="938" customFormat="1" ht="12.6" customHeight="1" x14ac:dyDescent="0.3"/>
    <row r="939" customFormat="1" ht="12.6" customHeight="1" x14ac:dyDescent="0.3"/>
    <row r="940" customFormat="1" ht="12.6" customHeight="1" x14ac:dyDescent="0.3"/>
    <row r="941" customFormat="1" ht="12.6" customHeight="1" x14ac:dyDescent="0.3"/>
    <row r="942" customFormat="1" ht="12.6" customHeight="1" x14ac:dyDescent="0.3"/>
    <row r="943" customFormat="1" ht="12.6" customHeight="1" x14ac:dyDescent="0.3"/>
    <row r="944" customFormat="1" ht="12.6" customHeight="1" x14ac:dyDescent="0.3"/>
    <row r="945" customFormat="1" ht="12.6" customHeight="1" x14ac:dyDescent="0.3"/>
    <row r="946" customFormat="1" ht="12.6" customHeight="1" x14ac:dyDescent="0.3"/>
    <row r="947" customFormat="1" ht="12.6" customHeight="1" x14ac:dyDescent="0.3"/>
    <row r="948" customFormat="1" ht="12.6" customHeight="1" x14ac:dyDescent="0.3"/>
    <row r="949" customFormat="1" ht="12.6" customHeight="1" x14ac:dyDescent="0.3"/>
    <row r="950" customFormat="1" ht="12.6" customHeight="1" x14ac:dyDescent="0.3"/>
    <row r="951" customFormat="1" ht="12.6" customHeight="1" x14ac:dyDescent="0.3"/>
    <row r="952" customFormat="1" ht="12.6" customHeight="1" x14ac:dyDescent="0.3"/>
    <row r="953" customFormat="1" ht="12.6" customHeight="1" x14ac:dyDescent="0.3"/>
    <row r="954" customFormat="1" ht="12.6" customHeight="1" x14ac:dyDescent="0.3"/>
    <row r="955" customFormat="1" ht="12.6" customHeight="1" x14ac:dyDescent="0.3"/>
    <row r="956" customFormat="1" ht="12.6" customHeight="1" x14ac:dyDescent="0.3"/>
    <row r="957" customFormat="1" ht="12.6" customHeight="1" x14ac:dyDescent="0.3"/>
    <row r="958" customFormat="1" ht="12.6" customHeight="1" x14ac:dyDescent="0.3"/>
    <row r="959" customFormat="1" ht="12.6" customHeight="1" x14ac:dyDescent="0.3"/>
    <row r="960" customFormat="1" ht="12.6" customHeight="1" x14ac:dyDescent="0.3"/>
    <row r="961" customFormat="1" ht="12.6" customHeight="1" x14ac:dyDescent="0.3"/>
    <row r="962" customFormat="1" ht="12.6" customHeight="1" x14ac:dyDescent="0.3"/>
    <row r="963" customFormat="1" ht="12.6" customHeight="1" x14ac:dyDescent="0.3"/>
    <row r="964" customFormat="1" ht="12.6" customHeight="1" x14ac:dyDescent="0.3"/>
    <row r="965" customFormat="1" ht="12.6" customHeight="1" x14ac:dyDescent="0.3"/>
    <row r="966" customFormat="1" ht="12.6" customHeight="1" x14ac:dyDescent="0.3"/>
    <row r="967" customFormat="1" ht="12.6" customHeight="1" x14ac:dyDescent="0.3"/>
    <row r="968" customFormat="1" ht="12.6" customHeight="1" x14ac:dyDescent="0.3"/>
    <row r="969" customFormat="1" ht="12.6" customHeight="1" x14ac:dyDescent="0.3"/>
    <row r="970" customFormat="1" ht="12.6" customHeight="1" x14ac:dyDescent="0.3"/>
    <row r="971" customFormat="1" ht="12.6" customHeight="1" x14ac:dyDescent="0.3"/>
    <row r="972" customFormat="1" ht="12.6" customHeight="1" x14ac:dyDescent="0.3"/>
    <row r="973" customFormat="1" ht="12.6" customHeight="1" x14ac:dyDescent="0.3"/>
    <row r="974" customFormat="1" ht="12.6" customHeight="1" x14ac:dyDescent="0.3"/>
    <row r="975" customFormat="1" ht="12.6" customHeight="1" x14ac:dyDescent="0.3"/>
    <row r="976" customFormat="1" ht="12.6" customHeight="1" x14ac:dyDescent="0.3"/>
    <row r="977" customFormat="1" ht="12.6" customHeight="1" x14ac:dyDescent="0.3"/>
    <row r="978" customFormat="1" ht="12.6" customHeight="1" x14ac:dyDescent="0.3"/>
    <row r="979" customFormat="1" ht="12.6" customHeight="1" x14ac:dyDescent="0.3"/>
    <row r="980" customFormat="1" ht="12.6" customHeight="1" x14ac:dyDescent="0.3"/>
    <row r="981" customFormat="1" ht="12.6" customHeight="1" x14ac:dyDescent="0.3"/>
    <row r="982" customFormat="1" ht="12.6" customHeight="1" x14ac:dyDescent="0.3"/>
    <row r="983" customFormat="1" ht="12.6" customHeight="1" x14ac:dyDescent="0.3"/>
    <row r="984" customFormat="1" ht="12.6" customHeight="1" x14ac:dyDescent="0.3"/>
    <row r="985" customFormat="1" ht="12.6" customHeight="1" x14ac:dyDescent="0.3"/>
    <row r="986" customFormat="1" ht="12.6" customHeight="1" x14ac:dyDescent="0.3"/>
    <row r="987" customFormat="1" ht="12.6" customHeight="1" x14ac:dyDescent="0.3"/>
    <row r="988" customFormat="1" ht="12.6" customHeight="1" x14ac:dyDescent="0.3"/>
    <row r="989" customFormat="1" ht="12.6" customHeight="1" x14ac:dyDescent="0.3"/>
    <row r="990" customFormat="1" ht="12.6" customHeight="1" x14ac:dyDescent="0.3"/>
    <row r="991" customFormat="1" ht="12.6" customHeight="1" x14ac:dyDescent="0.3"/>
    <row r="992" customFormat="1" ht="12.6" customHeight="1" x14ac:dyDescent="0.3"/>
    <row r="993" customFormat="1" ht="12.6" customHeight="1" x14ac:dyDescent="0.3"/>
    <row r="994" customFormat="1" ht="12.6" customHeight="1" x14ac:dyDescent="0.3"/>
    <row r="995" customFormat="1" ht="12.6" customHeight="1" x14ac:dyDescent="0.3"/>
    <row r="996" customFormat="1" ht="12.6" customHeight="1" x14ac:dyDescent="0.3"/>
    <row r="997" customFormat="1" ht="12.6" customHeight="1" x14ac:dyDescent="0.3"/>
    <row r="998" customFormat="1" ht="12.6" customHeight="1" x14ac:dyDescent="0.3"/>
    <row r="999" customFormat="1" ht="12.6" customHeight="1" x14ac:dyDescent="0.3"/>
    <row r="1000" customFormat="1" ht="12.6" customHeight="1" x14ac:dyDescent="0.3"/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0"/>
  <sheetViews>
    <sheetView tabSelected="1" workbookViewId="0">
      <selection activeCell="F4" sqref="F4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style="35" customWidth="1"/>
    <col min="6" max="6" width="18" customWidth="1"/>
    <col min="7" max="7" width="52" customWidth="1"/>
  </cols>
  <sheetData>
    <row r="1" spans="1:7" ht="18" x14ac:dyDescent="0.35">
      <c r="A1" s="28" t="s">
        <v>348</v>
      </c>
    </row>
    <row r="2" spans="1:7" ht="100.8" x14ac:dyDescent="0.3">
      <c r="A2" s="29" t="s">
        <v>349</v>
      </c>
    </row>
    <row r="4" spans="1:7" x14ac:dyDescent="0.3">
      <c r="A4" s="30" t="s">
        <v>255</v>
      </c>
      <c r="B4" s="30" t="s">
        <v>350</v>
      </c>
      <c r="C4" s="30" t="s">
        <v>219</v>
      </c>
      <c r="D4" s="30" t="s">
        <v>249</v>
      </c>
      <c r="E4" s="36" t="s">
        <v>252</v>
      </c>
      <c r="F4" s="30" t="s">
        <v>351</v>
      </c>
      <c r="G4" s="30" t="s">
        <v>39</v>
      </c>
    </row>
    <row r="5" spans="1:7" x14ac:dyDescent="0.3">
      <c r="A5" t="s">
        <v>346</v>
      </c>
      <c r="B5" t="s">
        <v>352</v>
      </c>
      <c r="C5" t="s">
        <v>229</v>
      </c>
      <c r="D5" t="s">
        <v>353</v>
      </c>
      <c r="E5" s="35">
        <v>330000</v>
      </c>
      <c r="F5" t="s">
        <v>354</v>
      </c>
      <c r="G5" t="s">
        <v>355</v>
      </c>
    </row>
    <row r="6" spans="1:7" x14ac:dyDescent="0.3">
      <c r="A6" t="s">
        <v>345</v>
      </c>
      <c r="B6" t="s">
        <v>352</v>
      </c>
      <c r="C6" s="39" t="s">
        <v>363</v>
      </c>
      <c r="E6" s="35">
        <v>1000000</v>
      </c>
      <c r="F6" t="s">
        <v>354</v>
      </c>
      <c r="G6" t="s">
        <v>356</v>
      </c>
    </row>
    <row r="7" spans="1:7" ht="43.2" x14ac:dyDescent="0.3">
      <c r="A7" t="s">
        <v>345</v>
      </c>
      <c r="B7" t="s">
        <v>357</v>
      </c>
      <c r="C7" s="38" t="s">
        <v>362</v>
      </c>
      <c r="D7" t="s">
        <v>354</v>
      </c>
      <c r="E7" s="35">
        <v>2700000</v>
      </c>
      <c r="F7" t="s">
        <v>354</v>
      </c>
      <c r="G7" t="s">
        <v>358</v>
      </c>
    </row>
    <row r="8" spans="1:7" x14ac:dyDescent="0.3">
      <c r="A8" t="s">
        <v>346</v>
      </c>
      <c r="B8" t="s">
        <v>357</v>
      </c>
      <c r="C8" s="39" t="s">
        <v>364</v>
      </c>
      <c r="D8" t="s">
        <v>353</v>
      </c>
      <c r="E8" s="37">
        <v>2000000</v>
      </c>
      <c r="F8" t="s">
        <v>354</v>
      </c>
      <c r="G8" t="s">
        <v>359</v>
      </c>
    </row>
    <row r="9" spans="1:7" x14ac:dyDescent="0.3">
      <c r="A9" t="s">
        <v>251</v>
      </c>
      <c r="B9" t="s">
        <v>357</v>
      </c>
      <c r="C9" t="s">
        <v>354</v>
      </c>
      <c r="D9" t="s">
        <v>354</v>
      </c>
      <c r="E9" s="35" t="s">
        <v>354</v>
      </c>
      <c r="F9" t="s">
        <v>354</v>
      </c>
      <c r="G9" t="s">
        <v>360</v>
      </c>
    </row>
    <row r="10" spans="1:7" x14ac:dyDescent="0.3">
      <c r="A10" t="s">
        <v>270</v>
      </c>
      <c r="B10" t="s">
        <v>357</v>
      </c>
      <c r="C10" t="s">
        <v>354</v>
      </c>
      <c r="D10" t="s">
        <v>354</v>
      </c>
      <c r="E10" s="35" t="s">
        <v>354</v>
      </c>
      <c r="F10" t="s">
        <v>354</v>
      </c>
      <c r="G10" t="s">
        <v>361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Abdelrhman Gamal Kamel Mohamed</dc:creator>
  <cp:lastModifiedBy>Abdelrhman Gamal Kamel Mohamed</cp:lastModifiedBy>
  <dcterms:created xsi:type="dcterms:W3CDTF">2026-04-13T07:50:09Z</dcterms:created>
  <dcterms:modified xsi:type="dcterms:W3CDTF">2026-04-13T07:50:10Z</dcterms:modified>
</cp:coreProperties>
</file>